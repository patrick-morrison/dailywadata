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19155" windowHeight="85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C35" i="1"/>
  <c r="AC12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8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3"/>
  <c r="AC5"/>
  <c r="AC6"/>
  <c r="AC7"/>
  <c r="AC8"/>
  <c r="AC9"/>
  <c r="AC10"/>
  <c r="AC11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3"/>
  <c r="AC4"/>
</calcChain>
</file>

<file path=xl/sharedStrings.xml><?xml version="1.0" encoding="utf-8"?>
<sst xmlns="http://schemas.openxmlformats.org/spreadsheetml/2006/main" count="375" uniqueCount="174">
  <si>
    <t>Date</t>
  </si>
  <si>
    <t>Time</t>
  </si>
  <si>
    <t>Observers</t>
  </si>
  <si>
    <t>Whale Behaviours</t>
  </si>
  <si>
    <t>Encounter No.</t>
  </si>
  <si>
    <t>Day</t>
  </si>
  <si>
    <t>Month</t>
  </si>
  <si>
    <t>Year</t>
  </si>
  <si>
    <t>24hrs</t>
  </si>
  <si>
    <t>No. Observers</t>
  </si>
  <si>
    <t>Latitude</t>
  </si>
  <si>
    <t>Longitude</t>
  </si>
  <si>
    <t>Species (HB/SR)</t>
  </si>
  <si>
    <t>Other Species</t>
  </si>
  <si>
    <t>No. Adult Whales</t>
  </si>
  <si>
    <t>Normalised per person</t>
  </si>
  <si>
    <t>No. calves</t>
  </si>
  <si>
    <t>Total No. whales</t>
  </si>
  <si>
    <t>B</t>
  </si>
  <si>
    <t>Bl</t>
  </si>
  <si>
    <t>LT</t>
  </si>
  <si>
    <t>PS</t>
  </si>
  <si>
    <t>L</t>
  </si>
  <si>
    <t>ST</t>
  </si>
  <si>
    <t>CS</t>
  </si>
  <si>
    <t>SH</t>
  </si>
  <si>
    <t>BD</t>
  </si>
  <si>
    <t>BR</t>
  </si>
  <si>
    <t>N</t>
  </si>
  <si>
    <t>Other</t>
  </si>
  <si>
    <t>Total</t>
  </si>
  <si>
    <t>Whales Sighted Relative to Vessel</t>
  </si>
  <si>
    <t>Distance (m)</t>
  </si>
  <si>
    <t>Whale Travelling</t>
  </si>
  <si>
    <t>Location</t>
  </si>
  <si>
    <t>Speed Over Ground (knots)</t>
  </si>
  <si>
    <t>Weather Condition</t>
  </si>
  <si>
    <t>Sea/Swell</t>
  </si>
  <si>
    <t>Comments</t>
  </si>
  <si>
    <t>24th</t>
  </si>
  <si>
    <t>26th</t>
  </si>
  <si>
    <t>29th</t>
  </si>
  <si>
    <t>August</t>
  </si>
  <si>
    <t>HB</t>
  </si>
  <si>
    <t>Wilson Point</t>
  </si>
  <si>
    <t>7:00 to 10:12</t>
  </si>
  <si>
    <t>Transect to South side of Montgomery Reef. 11 from boat between 7am and 10.12am</t>
  </si>
  <si>
    <r>
      <t>15</t>
    </r>
    <r>
      <rPr>
        <sz val="11"/>
        <color theme="1"/>
        <rFont val="Calibri"/>
        <family val="2"/>
      </rPr>
      <t>° 47.003'S</t>
    </r>
  </si>
  <si>
    <t>124° 21.653'E</t>
  </si>
  <si>
    <t>West</t>
  </si>
  <si>
    <t>2 whales 2nm West.</t>
  </si>
  <si>
    <t>15° 47.746'S</t>
  </si>
  <si>
    <t>124° 21.640'E</t>
  </si>
  <si>
    <t>South</t>
  </si>
  <si>
    <t>South East</t>
  </si>
  <si>
    <t>1 calf</t>
  </si>
  <si>
    <t>15° 48.530'S</t>
  </si>
  <si>
    <t>124° 21.634'E</t>
  </si>
  <si>
    <t>SE</t>
  </si>
  <si>
    <t>15° 48.530's</t>
  </si>
  <si>
    <t>15° 49.351'S</t>
  </si>
  <si>
    <t>124° 21.630</t>
  </si>
  <si>
    <t>SW</t>
  </si>
  <si>
    <t>124° 21.630'E</t>
  </si>
  <si>
    <t>mother and calf</t>
  </si>
  <si>
    <t>15° 50.148'S</t>
  </si>
  <si>
    <t>124° 21.634</t>
  </si>
  <si>
    <t>W</t>
  </si>
  <si>
    <t>15° 50.496'S</t>
  </si>
  <si>
    <t>s</t>
  </si>
  <si>
    <t>15° 51.281'S</t>
  </si>
  <si>
    <t>124° 21.604</t>
  </si>
  <si>
    <t>15° 51.466'S</t>
  </si>
  <si>
    <t>124° 21.597'E</t>
  </si>
  <si>
    <t>mother and calf. Off raft qt</t>
  </si>
  <si>
    <t>15° 51.833'S</t>
  </si>
  <si>
    <t>124° 21.580'E</t>
  </si>
  <si>
    <t>WSW</t>
  </si>
  <si>
    <t>mother and calf.</t>
  </si>
  <si>
    <t>15° 52.784'S</t>
  </si>
  <si>
    <t>124° 21.511'E</t>
  </si>
  <si>
    <t>E</t>
  </si>
  <si>
    <t>15° 55.299'S</t>
  </si>
  <si>
    <t>124° 21.092'E</t>
  </si>
  <si>
    <t>15° 55.615'S</t>
  </si>
  <si>
    <t>124° 21.012'E</t>
  </si>
  <si>
    <t>S</t>
  </si>
  <si>
    <t>15° 56.783'S</t>
  </si>
  <si>
    <t>124° 20.260'E</t>
  </si>
  <si>
    <t>15° 58.684'S</t>
  </si>
  <si>
    <t>124° 18.941'e</t>
  </si>
  <si>
    <t>15° 58.779'S</t>
  </si>
  <si>
    <t>124° 18.884'E</t>
  </si>
  <si>
    <t>15° 59.703'S</t>
  </si>
  <si>
    <t>124° 18.214'E</t>
  </si>
  <si>
    <t>surface blows near edge of reef</t>
  </si>
  <si>
    <t>Just E of Walarjarlin Is 195° T and 4.5kt</t>
  </si>
  <si>
    <t>15° 57.832'S</t>
  </si>
  <si>
    <t>124° 19.304'E</t>
  </si>
  <si>
    <t>15° 57.971'S</t>
  </si>
  <si>
    <t>124° 19.266'E</t>
  </si>
  <si>
    <t>NE</t>
  </si>
  <si>
    <t>15° 59.467'S</t>
  </si>
  <si>
    <t>124° 18.941'E</t>
  </si>
  <si>
    <t>124° 18.750'E</t>
  </si>
  <si>
    <t>16° 00.250'S</t>
  </si>
  <si>
    <t>16° 01.001'S</t>
  </si>
  <si>
    <t>124° 18.419'E</t>
  </si>
  <si>
    <t>heading 181° TN 3.0 kt</t>
  </si>
  <si>
    <t>16° 01.334'S</t>
  </si>
  <si>
    <t>124° 18.400'E</t>
  </si>
  <si>
    <t>heading 211° TN and 2.9 kt</t>
  </si>
  <si>
    <t>16° 02.085'S</t>
  </si>
  <si>
    <t>124° 17.085'E</t>
  </si>
  <si>
    <t>Very few whales. Winds 20km/h SE. Heading 245° TN 2.7 kt. Bottom SE corner of Montgomery Reef towards King Fisher Island.</t>
  </si>
  <si>
    <t>16° 02.557'S</t>
  </si>
  <si>
    <t>124° 16.197'E</t>
  </si>
  <si>
    <t>No whales since 10.32. Heading 243° TN 3.0 kt. Headint towards King fisher Island.</t>
  </si>
  <si>
    <t>16° 02.821'S</t>
  </si>
  <si>
    <t>124° 15.647'E</t>
  </si>
  <si>
    <t>16° 02.935'S</t>
  </si>
  <si>
    <t>124° 15.461'E</t>
  </si>
  <si>
    <t>16° 03.085'S</t>
  </si>
  <si>
    <t>124° 15.194'E</t>
  </si>
  <si>
    <t>SE, SW.</t>
  </si>
  <si>
    <t>1852, 800.</t>
  </si>
  <si>
    <t>SSW</t>
  </si>
  <si>
    <t>16° 03.259's</t>
  </si>
  <si>
    <t>124° 14.912'e</t>
  </si>
  <si>
    <t>16° 03.497's</t>
  </si>
  <si>
    <t>124° 14.528'e</t>
  </si>
  <si>
    <t>whales in back ediie kingfisher island</t>
  </si>
  <si>
    <t>16° 03.679'S</t>
  </si>
  <si>
    <t>124° 14.237'E</t>
  </si>
  <si>
    <t>16° 03.903'S</t>
  </si>
  <si>
    <t>124° 13.881'E</t>
  </si>
  <si>
    <t>16° 03.995'S</t>
  </si>
  <si>
    <t>124° 13.734'E</t>
  </si>
  <si>
    <t>16° 04.081's</t>
  </si>
  <si>
    <t>124° 13.598'S</t>
  </si>
  <si>
    <t>Feeding arching.</t>
  </si>
  <si>
    <t>16° 04.300'S</t>
  </si>
  <si>
    <t>124° 13.253'S</t>
  </si>
  <si>
    <t>ESE</t>
  </si>
  <si>
    <t>16° 06.504'S</t>
  </si>
  <si>
    <t>124° 09.262'E</t>
  </si>
  <si>
    <t>16° 07.216'S</t>
  </si>
  <si>
    <t>124° 07.886'E</t>
  </si>
  <si>
    <t>Entrance to Kingfisher Island Channel.</t>
  </si>
  <si>
    <t>16° 07.729'S</t>
  </si>
  <si>
    <t>124° 06.912'E</t>
  </si>
  <si>
    <t>End of Transect at Kingfisher Island.</t>
  </si>
  <si>
    <t>16° 07.613'S</t>
  </si>
  <si>
    <t>124° 02.715'E</t>
  </si>
  <si>
    <t>Whale observation transect - Kingfisher Island - Koolan Island heading 260° T speek 4.2 kt.</t>
  </si>
  <si>
    <t>16° 07.722'S</t>
  </si>
  <si>
    <t>124° 01.792'E</t>
  </si>
  <si>
    <t>top of high tide</t>
  </si>
  <si>
    <t>16° 07.807'S</t>
  </si>
  <si>
    <t>124° 01.289'E</t>
  </si>
  <si>
    <t>16° 08.428'S</t>
  </si>
  <si>
    <t>123° 57.536'E</t>
  </si>
  <si>
    <t>16° 07.972'S</t>
  </si>
  <si>
    <t>124° 00.391'E</t>
  </si>
  <si>
    <t>Calf resting on ? Mother going backwards.</t>
  </si>
  <si>
    <t>16° 08.887'S</t>
  </si>
  <si>
    <t>123° 54.052'E</t>
  </si>
  <si>
    <t>Surface resting drifting in current.</t>
  </si>
  <si>
    <t>16° 09.125'S</t>
  </si>
  <si>
    <t>123° 51.863'E</t>
  </si>
  <si>
    <t>NW</t>
  </si>
  <si>
    <t>16° 09.394'S</t>
  </si>
  <si>
    <t>123° 50.165'E</t>
  </si>
  <si>
    <t>End of survey.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</si>
</sst>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55"/>
  <sheetViews>
    <sheetView tabSelected="1" workbookViewId="0">
      <selection activeCell="F30" sqref="F30:F55"/>
    </sheetView>
  </sheetViews>
  <sheetFormatPr defaultRowHeight="15"/>
  <cols>
    <col min="1" max="1" width="10.28515625" style="2" customWidth="1"/>
    <col min="2" max="2" width="11" style="2" customWidth="1"/>
    <col min="3" max="3" width="10.85546875" style="2" bestFit="1" customWidth="1"/>
    <col min="4" max="4" width="9.140625" style="2"/>
    <col min="5" max="5" width="9.140625" style="9"/>
    <col min="6" max="6" width="13.7109375" style="2" bestFit="1" customWidth="1"/>
    <col min="7" max="7" width="11" style="2" bestFit="1" customWidth="1"/>
    <col min="8" max="8" width="12.140625" style="2" bestFit="1" customWidth="1"/>
    <col min="9" max="10" width="12.140625" style="2" customWidth="1"/>
    <col min="11" max="11" width="16.5703125" style="2" bestFit="1" customWidth="1"/>
    <col min="12" max="12" width="11.28515625" style="2" bestFit="1" customWidth="1"/>
    <col min="13" max="13" width="9.140625" style="2"/>
    <col min="14" max="14" width="11.42578125" style="2" customWidth="1"/>
    <col min="15" max="15" width="9.140625" style="2"/>
    <col min="16" max="16" width="11.42578125" style="2" customWidth="1"/>
    <col min="17" max="17" width="2.140625" style="2" bestFit="1" customWidth="1"/>
    <col min="18" max="18" width="2.7109375" style="2" bestFit="1" customWidth="1"/>
    <col min="19" max="19" width="2.85546875" style="2" bestFit="1" customWidth="1"/>
    <col min="20" max="20" width="3.140625" style="2" bestFit="1" customWidth="1"/>
    <col min="21" max="21" width="2" style="2" bestFit="1" customWidth="1"/>
    <col min="22" max="22" width="3" style="2" bestFit="1" customWidth="1"/>
    <col min="23" max="23" width="3.140625" style="2" bestFit="1" customWidth="1"/>
    <col min="24" max="24" width="3.28515625" style="2" bestFit="1" customWidth="1"/>
    <col min="25" max="25" width="3.42578125" style="2" bestFit="1" customWidth="1"/>
    <col min="26" max="26" width="3.28515625" style="2" bestFit="1" customWidth="1"/>
    <col min="27" max="27" width="3.28515625" style="2" customWidth="1"/>
    <col min="28" max="28" width="6.140625" style="2" bestFit="1" customWidth="1"/>
    <col min="29" max="29" width="5.42578125" style="2" bestFit="1" customWidth="1"/>
    <col min="30" max="30" width="14.42578125" style="2" customWidth="1"/>
    <col min="31" max="31" width="9.140625" style="2"/>
    <col min="32" max="32" width="9.5703125" style="2" customWidth="1"/>
    <col min="33" max="33" width="25" style="2" bestFit="1" customWidth="1"/>
    <col min="34" max="34" width="9.140625" style="2"/>
    <col min="35" max="35" width="11.140625" style="2" bestFit="1" customWidth="1"/>
    <col min="36" max="36" width="14.42578125" style="2" bestFit="1" customWidth="1"/>
    <col min="37" max="37" width="44.42578125" style="2" customWidth="1"/>
    <col min="38" max="16384" width="9.140625" style="2"/>
  </cols>
  <sheetData>
    <row r="1" spans="1:37">
      <c r="B1" s="13" t="s">
        <v>0</v>
      </c>
      <c r="C1" s="13"/>
      <c r="D1" s="13"/>
      <c r="E1" s="7" t="s">
        <v>1</v>
      </c>
      <c r="F1" s="3" t="s">
        <v>2</v>
      </c>
      <c r="Q1" s="13" t="s">
        <v>3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37" ht="60">
      <c r="A2" s="1" t="s">
        <v>4</v>
      </c>
      <c r="B2" s="1" t="s">
        <v>5</v>
      </c>
      <c r="C2" s="1" t="s">
        <v>6</v>
      </c>
      <c r="D2" s="1" t="s">
        <v>7</v>
      </c>
      <c r="E2" s="8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15</v>
      </c>
      <c r="O2" s="1" t="s">
        <v>17</v>
      </c>
      <c r="P2" s="1" t="s">
        <v>15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4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</row>
    <row r="3" spans="1:37">
      <c r="A3" s="2">
        <v>1</v>
      </c>
      <c r="B3" s="2" t="s">
        <v>39</v>
      </c>
      <c r="C3" s="2" t="s">
        <v>42</v>
      </c>
      <c r="D3" s="2">
        <v>2010</v>
      </c>
      <c r="E3" s="9" t="s">
        <v>45</v>
      </c>
      <c r="F3" s="2">
        <v>1</v>
      </c>
      <c r="G3" s="14" t="s">
        <v>44</v>
      </c>
      <c r="H3" s="14"/>
      <c r="I3" s="2" t="s">
        <v>43</v>
      </c>
      <c r="L3" s="2">
        <f>K3/F3</f>
        <v>0</v>
      </c>
      <c r="N3" s="2">
        <f>M3/F3</f>
        <v>0</v>
      </c>
      <c r="O3" s="2">
        <v>11</v>
      </c>
      <c r="P3" s="2">
        <f>O3/F3</f>
        <v>11</v>
      </c>
      <c r="AC3" s="2">
        <f>Q3+R3+S3+T3+U3+V3+W3+X3+Y3+Z3+AA3+AB3</f>
        <v>0</v>
      </c>
      <c r="AK3" s="2" t="s">
        <v>46</v>
      </c>
    </row>
    <row r="4" spans="1:37">
      <c r="A4" s="2">
        <v>2</v>
      </c>
      <c r="B4" s="2" t="s">
        <v>39</v>
      </c>
      <c r="C4" s="2" t="s">
        <v>42</v>
      </c>
      <c r="D4" s="2">
        <v>2010</v>
      </c>
      <c r="E4" s="9">
        <v>10.220000000000001</v>
      </c>
      <c r="F4" s="2">
        <v>1</v>
      </c>
      <c r="G4" s="2" t="s">
        <v>47</v>
      </c>
      <c r="H4" s="2" t="s">
        <v>48</v>
      </c>
      <c r="I4" s="2" t="s">
        <v>43</v>
      </c>
      <c r="K4" s="2">
        <v>2</v>
      </c>
      <c r="L4" s="2">
        <f t="shared" ref="L4:L54" si="0">K4/F4</f>
        <v>2</v>
      </c>
      <c r="M4" s="2">
        <v>0</v>
      </c>
      <c r="N4" s="2">
        <f t="shared" ref="N4:N54" si="1">M4/F4</f>
        <v>0</v>
      </c>
      <c r="O4" s="2">
        <v>2</v>
      </c>
      <c r="P4" s="2">
        <f t="shared" ref="P4:P54" si="2">O4/F4</f>
        <v>2</v>
      </c>
      <c r="Q4" s="2">
        <v>2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f>Q4+R4+S4+T4+U4+V4+W4+X4+Y4+Z4+AA4+AB4</f>
        <v>2</v>
      </c>
      <c r="AD4" s="2" t="s">
        <v>49</v>
      </c>
      <c r="AE4" s="2">
        <v>3704</v>
      </c>
      <c r="AK4" s="2" t="s">
        <v>50</v>
      </c>
    </row>
    <row r="5" spans="1:37">
      <c r="A5" s="2">
        <v>3</v>
      </c>
      <c r="B5" s="2" t="s">
        <v>39</v>
      </c>
      <c r="C5" s="2" t="s">
        <v>42</v>
      </c>
      <c r="D5" s="2">
        <v>2010</v>
      </c>
      <c r="E5" s="9">
        <v>10.32</v>
      </c>
      <c r="F5" s="2">
        <v>1</v>
      </c>
      <c r="G5" s="2" t="s">
        <v>51</v>
      </c>
      <c r="H5" s="2" t="s">
        <v>52</v>
      </c>
      <c r="I5" s="2" t="s">
        <v>43</v>
      </c>
      <c r="K5" s="2">
        <v>2</v>
      </c>
      <c r="L5" s="2">
        <f t="shared" si="0"/>
        <v>2</v>
      </c>
      <c r="M5" s="2">
        <v>0</v>
      </c>
      <c r="N5" s="2">
        <f t="shared" si="1"/>
        <v>0</v>
      </c>
      <c r="O5" s="2">
        <v>2</v>
      </c>
      <c r="P5" s="2">
        <f t="shared" si="2"/>
        <v>2</v>
      </c>
      <c r="Q5" s="2">
        <v>0</v>
      </c>
      <c r="R5" s="2">
        <v>2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f t="shared" ref="AC5:AC54" si="3">Q5+R5+S5+T5+U5+V5+W5+X5+Y5+Z5+AA5+AB5</f>
        <v>2</v>
      </c>
      <c r="AD5" s="2" t="s">
        <v>53</v>
      </c>
      <c r="AE5" s="2">
        <v>1852</v>
      </c>
    </row>
    <row r="6" spans="1:37">
      <c r="A6" s="5">
        <v>4</v>
      </c>
      <c r="B6" s="2" t="s">
        <v>39</v>
      </c>
      <c r="C6" s="2" t="s">
        <v>42</v>
      </c>
      <c r="D6" s="2">
        <v>2010</v>
      </c>
      <c r="E6" s="9">
        <v>10.32</v>
      </c>
      <c r="F6" s="2">
        <v>1</v>
      </c>
      <c r="G6" s="2" t="s">
        <v>51</v>
      </c>
      <c r="H6" s="2" t="s">
        <v>52</v>
      </c>
      <c r="I6" s="2" t="s">
        <v>43</v>
      </c>
      <c r="K6" s="2">
        <v>1</v>
      </c>
      <c r="L6" s="2">
        <f t="shared" si="0"/>
        <v>1</v>
      </c>
      <c r="M6" s="2">
        <v>1</v>
      </c>
      <c r="N6" s="2">
        <f t="shared" si="1"/>
        <v>1</v>
      </c>
      <c r="O6" s="2">
        <v>2</v>
      </c>
      <c r="P6" s="2">
        <f t="shared" si="2"/>
        <v>2</v>
      </c>
      <c r="Q6" s="2">
        <v>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f t="shared" si="3"/>
        <v>2</v>
      </c>
      <c r="AD6" s="2" t="s">
        <v>54</v>
      </c>
      <c r="AE6" s="2">
        <v>3704</v>
      </c>
      <c r="AK6" s="2" t="s">
        <v>55</v>
      </c>
    </row>
    <row r="7" spans="1:37">
      <c r="A7" s="2">
        <v>5</v>
      </c>
      <c r="B7" s="2" t="s">
        <v>39</v>
      </c>
      <c r="C7" s="2" t="s">
        <v>42</v>
      </c>
      <c r="D7" s="2">
        <v>2010</v>
      </c>
      <c r="E7" s="9">
        <v>10.33</v>
      </c>
      <c r="F7" s="6">
        <v>1</v>
      </c>
      <c r="G7" s="2" t="s">
        <v>51</v>
      </c>
      <c r="H7" s="2" t="s">
        <v>52</v>
      </c>
      <c r="I7" s="2" t="s">
        <v>43</v>
      </c>
      <c r="K7" s="2">
        <v>3</v>
      </c>
      <c r="L7" s="2">
        <f t="shared" si="0"/>
        <v>3</v>
      </c>
      <c r="M7" s="2">
        <v>0</v>
      </c>
      <c r="N7" s="2">
        <f t="shared" si="1"/>
        <v>0</v>
      </c>
      <c r="O7" s="2">
        <v>3</v>
      </c>
      <c r="P7" s="2">
        <f t="shared" si="2"/>
        <v>3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f t="shared" si="3"/>
        <v>2</v>
      </c>
      <c r="AD7" s="2" t="s">
        <v>53</v>
      </c>
      <c r="AE7" s="2">
        <v>7408</v>
      </c>
    </row>
    <row r="8" spans="1:37">
      <c r="A8" s="2">
        <v>6</v>
      </c>
      <c r="B8" s="2" t="s">
        <v>39</v>
      </c>
      <c r="C8" s="2" t="s">
        <v>42</v>
      </c>
      <c r="D8" s="2">
        <v>2010</v>
      </c>
      <c r="E8" s="9">
        <v>10.39</v>
      </c>
      <c r="F8" s="6">
        <v>1</v>
      </c>
      <c r="G8" s="2" t="s">
        <v>56</v>
      </c>
      <c r="H8" s="2" t="s">
        <v>57</v>
      </c>
      <c r="I8" s="2" t="s">
        <v>43</v>
      </c>
      <c r="K8" s="2">
        <v>1</v>
      </c>
      <c r="L8" s="2">
        <f t="shared" si="0"/>
        <v>1</v>
      </c>
      <c r="M8" s="2">
        <v>1</v>
      </c>
      <c r="N8" s="2">
        <f t="shared" si="1"/>
        <v>1</v>
      </c>
      <c r="O8" s="2">
        <f>M8+K8</f>
        <v>2</v>
      </c>
      <c r="P8" s="2">
        <f t="shared" si="2"/>
        <v>2</v>
      </c>
      <c r="Q8" s="2">
        <v>0</v>
      </c>
      <c r="R8" s="2">
        <v>2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f t="shared" si="3"/>
        <v>2</v>
      </c>
      <c r="AD8" s="2" t="s">
        <v>58</v>
      </c>
      <c r="AE8" s="2">
        <v>1852</v>
      </c>
    </row>
    <row r="9" spans="1:37">
      <c r="A9" s="2">
        <v>7</v>
      </c>
      <c r="B9" s="2" t="s">
        <v>39</v>
      </c>
      <c r="C9" s="2" t="s">
        <v>42</v>
      </c>
      <c r="D9" s="2">
        <v>2010</v>
      </c>
      <c r="E9" s="9">
        <v>10.4</v>
      </c>
      <c r="F9" s="6">
        <v>1</v>
      </c>
      <c r="G9" s="2" t="s">
        <v>59</v>
      </c>
      <c r="H9" s="2" t="s">
        <v>57</v>
      </c>
      <c r="I9" s="2" t="s">
        <v>43</v>
      </c>
      <c r="K9" s="2">
        <v>2</v>
      </c>
      <c r="L9" s="2">
        <f t="shared" si="0"/>
        <v>2</v>
      </c>
      <c r="M9" s="2">
        <v>0</v>
      </c>
      <c r="N9" s="2">
        <f t="shared" si="1"/>
        <v>0</v>
      </c>
      <c r="O9" s="2">
        <f t="shared" ref="O9:O54" si="4">M9+K9</f>
        <v>2</v>
      </c>
      <c r="P9" s="2">
        <f t="shared" si="2"/>
        <v>2</v>
      </c>
      <c r="Q9" s="2">
        <v>0</v>
      </c>
      <c r="R9" s="2">
        <v>2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f t="shared" si="3"/>
        <v>2</v>
      </c>
      <c r="AD9" s="2" t="s">
        <v>58</v>
      </c>
      <c r="AE9" s="2">
        <v>5556</v>
      </c>
      <c r="AK9" s="2" t="s">
        <v>55</v>
      </c>
    </row>
    <row r="10" spans="1:37">
      <c r="A10" s="5">
        <v>8</v>
      </c>
      <c r="B10" s="2" t="s">
        <v>39</v>
      </c>
      <c r="C10" s="2" t="s">
        <v>42</v>
      </c>
      <c r="D10" s="2">
        <v>2010</v>
      </c>
      <c r="E10" s="9">
        <v>10.45</v>
      </c>
      <c r="F10" s="6">
        <v>1</v>
      </c>
      <c r="G10" s="2" t="s">
        <v>60</v>
      </c>
      <c r="H10" s="2" t="s">
        <v>61</v>
      </c>
      <c r="I10" s="2" t="s">
        <v>43</v>
      </c>
      <c r="K10" s="2">
        <v>1</v>
      </c>
      <c r="L10" s="2">
        <f t="shared" si="0"/>
        <v>1</v>
      </c>
      <c r="M10" s="2">
        <v>0</v>
      </c>
      <c r="N10" s="2">
        <f t="shared" si="1"/>
        <v>0</v>
      </c>
      <c r="O10" s="2">
        <f t="shared" si="4"/>
        <v>1</v>
      </c>
      <c r="P10" s="2">
        <f t="shared" si="2"/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f t="shared" si="3"/>
        <v>1</v>
      </c>
      <c r="AD10" s="2" t="s">
        <v>62</v>
      </c>
      <c r="AE10" s="2">
        <v>500</v>
      </c>
    </row>
    <row r="11" spans="1:37">
      <c r="A11" s="2">
        <v>9</v>
      </c>
      <c r="B11" s="2" t="s">
        <v>39</v>
      </c>
      <c r="C11" s="2" t="s">
        <v>42</v>
      </c>
      <c r="D11" s="2">
        <v>2010</v>
      </c>
      <c r="E11" s="9">
        <v>10.46</v>
      </c>
      <c r="F11" s="6">
        <v>1</v>
      </c>
      <c r="G11" s="2" t="s">
        <v>60</v>
      </c>
      <c r="H11" s="2" t="s">
        <v>63</v>
      </c>
      <c r="I11" s="2" t="s">
        <v>43</v>
      </c>
      <c r="K11" s="2">
        <v>1</v>
      </c>
      <c r="L11" s="2">
        <f t="shared" si="0"/>
        <v>1</v>
      </c>
      <c r="M11" s="2">
        <v>1</v>
      </c>
      <c r="N11" s="2">
        <f t="shared" si="1"/>
        <v>1</v>
      </c>
      <c r="O11" s="2">
        <f t="shared" si="4"/>
        <v>2</v>
      </c>
      <c r="P11" s="2">
        <f t="shared" si="2"/>
        <v>2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f t="shared" si="3"/>
        <v>2</v>
      </c>
      <c r="AD11" s="2" t="s">
        <v>58</v>
      </c>
      <c r="AE11" s="2">
        <v>1852</v>
      </c>
      <c r="AK11" s="2" t="s">
        <v>64</v>
      </c>
    </row>
    <row r="12" spans="1:37">
      <c r="A12" s="2">
        <v>10</v>
      </c>
      <c r="B12" s="2" t="s">
        <v>39</v>
      </c>
      <c r="C12" s="2" t="s">
        <v>42</v>
      </c>
      <c r="D12" s="2">
        <v>2010</v>
      </c>
      <c r="E12" s="9">
        <v>10.54</v>
      </c>
      <c r="F12" s="6">
        <v>1</v>
      </c>
      <c r="G12" s="2" t="s">
        <v>65</v>
      </c>
      <c r="H12" s="2" t="s">
        <v>66</v>
      </c>
      <c r="I12" s="2" t="s">
        <v>43</v>
      </c>
      <c r="K12" s="2">
        <v>1</v>
      </c>
      <c r="L12" s="2">
        <f t="shared" si="0"/>
        <v>1</v>
      </c>
      <c r="M12" s="2">
        <v>1</v>
      </c>
      <c r="N12" s="2">
        <f t="shared" si="1"/>
        <v>1</v>
      </c>
      <c r="O12" s="2">
        <f t="shared" si="4"/>
        <v>2</v>
      </c>
      <c r="P12" s="2">
        <f t="shared" si="2"/>
        <v>2</v>
      </c>
      <c r="Q12" s="2">
        <v>2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f t="shared" si="3"/>
        <v>2</v>
      </c>
      <c r="AD12" s="2" t="s">
        <v>67</v>
      </c>
      <c r="AE12" s="2">
        <v>3704</v>
      </c>
      <c r="AK12" s="2" t="s">
        <v>64</v>
      </c>
    </row>
    <row r="13" spans="1:37">
      <c r="A13" s="2">
        <v>11</v>
      </c>
      <c r="B13" s="2" t="s">
        <v>39</v>
      </c>
      <c r="C13" s="2" t="s">
        <v>42</v>
      </c>
      <c r="D13" s="2">
        <v>2010</v>
      </c>
      <c r="E13" s="9">
        <v>10.56</v>
      </c>
      <c r="F13" s="6">
        <v>1</v>
      </c>
      <c r="G13" s="2" t="s">
        <v>68</v>
      </c>
      <c r="H13" s="2" t="s">
        <v>61</v>
      </c>
      <c r="I13" s="2" t="s">
        <v>43</v>
      </c>
      <c r="K13" s="2">
        <v>1</v>
      </c>
      <c r="L13" s="2">
        <f t="shared" si="0"/>
        <v>1</v>
      </c>
      <c r="M13" s="2">
        <v>1</v>
      </c>
      <c r="N13" s="2">
        <f t="shared" si="1"/>
        <v>1</v>
      </c>
      <c r="O13" s="2">
        <f t="shared" si="4"/>
        <v>2</v>
      </c>
      <c r="P13" s="2">
        <f t="shared" si="2"/>
        <v>2</v>
      </c>
      <c r="Q13" s="2">
        <v>0</v>
      </c>
      <c r="R13" s="2">
        <v>0</v>
      </c>
      <c r="S13" s="2">
        <v>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f t="shared" si="3"/>
        <v>2</v>
      </c>
      <c r="AD13" s="2" t="s">
        <v>69</v>
      </c>
      <c r="AE13" s="2">
        <v>5556</v>
      </c>
      <c r="AK13" s="2" t="s">
        <v>64</v>
      </c>
    </row>
    <row r="14" spans="1:37">
      <c r="A14" s="5">
        <v>12</v>
      </c>
      <c r="B14" s="2" t="s">
        <v>39</v>
      </c>
      <c r="C14" s="2" t="s">
        <v>42</v>
      </c>
      <c r="D14" s="2">
        <v>2010</v>
      </c>
      <c r="E14" s="9">
        <v>11.03</v>
      </c>
      <c r="F14" s="6">
        <v>1</v>
      </c>
      <c r="G14" s="2" t="s">
        <v>70</v>
      </c>
      <c r="H14" s="2" t="s">
        <v>71</v>
      </c>
      <c r="I14" s="2" t="s">
        <v>43</v>
      </c>
      <c r="K14" s="2">
        <v>1</v>
      </c>
      <c r="L14" s="2">
        <f t="shared" si="0"/>
        <v>1</v>
      </c>
      <c r="M14" s="2">
        <v>0</v>
      </c>
      <c r="N14" s="2">
        <f t="shared" si="1"/>
        <v>0</v>
      </c>
      <c r="O14" s="2">
        <f t="shared" si="4"/>
        <v>1</v>
      </c>
      <c r="P14" s="2">
        <f t="shared" si="2"/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f t="shared" si="3"/>
        <v>1</v>
      </c>
      <c r="AD14" s="2" t="s">
        <v>58</v>
      </c>
      <c r="AE14" s="2">
        <v>3704</v>
      </c>
    </row>
    <row r="15" spans="1:37">
      <c r="A15" s="2">
        <v>13</v>
      </c>
      <c r="B15" s="2" t="s">
        <v>39</v>
      </c>
      <c r="C15" s="2" t="s">
        <v>42</v>
      </c>
      <c r="D15" s="2">
        <v>2010</v>
      </c>
      <c r="E15" s="9">
        <v>11.04</v>
      </c>
      <c r="F15" s="6">
        <v>1</v>
      </c>
      <c r="G15" s="2" t="s">
        <v>72</v>
      </c>
      <c r="H15" s="2" t="s">
        <v>73</v>
      </c>
      <c r="I15" s="2" t="s">
        <v>43</v>
      </c>
      <c r="K15" s="2">
        <v>1</v>
      </c>
      <c r="L15" s="2">
        <f t="shared" si="0"/>
        <v>1</v>
      </c>
      <c r="M15" s="2">
        <v>1</v>
      </c>
      <c r="N15" s="2">
        <f t="shared" si="1"/>
        <v>1</v>
      </c>
      <c r="O15" s="2">
        <f t="shared" si="4"/>
        <v>2</v>
      </c>
      <c r="P15" s="2">
        <f t="shared" si="2"/>
        <v>2</v>
      </c>
      <c r="Q15" s="2">
        <v>0</v>
      </c>
      <c r="R15" s="2">
        <v>0</v>
      </c>
      <c r="S15" s="2">
        <v>0</v>
      </c>
      <c r="T15" s="2">
        <v>0</v>
      </c>
      <c r="U15" s="2">
        <v>2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f t="shared" si="3"/>
        <v>2</v>
      </c>
      <c r="AD15" s="2" t="s">
        <v>58</v>
      </c>
      <c r="AE15" s="2">
        <v>7408</v>
      </c>
      <c r="AK15" s="2" t="s">
        <v>74</v>
      </c>
    </row>
    <row r="16" spans="1:37">
      <c r="A16" s="2">
        <v>14</v>
      </c>
      <c r="B16" s="2" t="s">
        <v>39</v>
      </c>
      <c r="C16" s="2" t="s">
        <v>42</v>
      </c>
      <c r="D16" s="2">
        <v>2010</v>
      </c>
      <c r="E16" s="9">
        <v>11.1</v>
      </c>
      <c r="F16" s="6">
        <v>1</v>
      </c>
      <c r="G16" s="2" t="s">
        <v>75</v>
      </c>
      <c r="H16" s="2" t="s">
        <v>76</v>
      </c>
      <c r="I16" s="2" t="s">
        <v>43</v>
      </c>
      <c r="K16" s="2">
        <v>1</v>
      </c>
      <c r="L16" s="2">
        <f t="shared" si="0"/>
        <v>1</v>
      </c>
      <c r="M16" s="2">
        <v>1</v>
      </c>
      <c r="N16" s="2">
        <f t="shared" si="1"/>
        <v>1</v>
      </c>
      <c r="O16" s="2">
        <f t="shared" si="4"/>
        <v>2</v>
      </c>
      <c r="P16" s="2">
        <f t="shared" si="2"/>
        <v>2</v>
      </c>
      <c r="Q16" s="2">
        <v>0</v>
      </c>
      <c r="R16" s="2">
        <v>0</v>
      </c>
      <c r="S16" s="2">
        <v>0</v>
      </c>
      <c r="T16" s="2">
        <v>0</v>
      </c>
      <c r="U16" s="2">
        <v>2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f t="shared" si="3"/>
        <v>2</v>
      </c>
      <c r="AD16" s="2" t="s">
        <v>77</v>
      </c>
      <c r="AE16" s="2">
        <v>3704</v>
      </c>
      <c r="AK16" s="2" t="s">
        <v>78</v>
      </c>
    </row>
    <row r="17" spans="1:37">
      <c r="A17" s="2">
        <v>15</v>
      </c>
      <c r="B17" s="2" t="s">
        <v>39</v>
      </c>
      <c r="C17" s="2" t="s">
        <v>42</v>
      </c>
      <c r="D17" s="2">
        <v>2010</v>
      </c>
      <c r="E17" s="9">
        <v>11.17</v>
      </c>
      <c r="F17" s="6">
        <v>1</v>
      </c>
      <c r="G17" s="2" t="s">
        <v>79</v>
      </c>
      <c r="H17" s="2" t="s">
        <v>80</v>
      </c>
      <c r="I17" s="2" t="s">
        <v>43</v>
      </c>
      <c r="K17" s="2">
        <v>1</v>
      </c>
      <c r="L17" s="2">
        <f t="shared" si="0"/>
        <v>1</v>
      </c>
      <c r="M17" s="2">
        <v>0</v>
      </c>
      <c r="N17" s="2">
        <f t="shared" si="1"/>
        <v>0</v>
      </c>
      <c r="O17" s="2">
        <f t="shared" si="4"/>
        <v>1</v>
      </c>
      <c r="P17" s="2">
        <f t="shared" si="2"/>
        <v>1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f t="shared" si="3"/>
        <v>1</v>
      </c>
      <c r="AD17" s="2" t="s">
        <v>67</v>
      </c>
      <c r="AE17" s="2">
        <v>9260</v>
      </c>
    </row>
    <row r="18" spans="1:37">
      <c r="A18" s="5">
        <v>16</v>
      </c>
      <c r="B18" s="2" t="s">
        <v>39</v>
      </c>
      <c r="C18" s="2" t="s">
        <v>42</v>
      </c>
      <c r="D18" s="2">
        <v>2010</v>
      </c>
      <c r="E18" s="9">
        <v>11.17</v>
      </c>
      <c r="F18" s="6">
        <v>1</v>
      </c>
      <c r="G18" s="2" t="s">
        <v>79</v>
      </c>
      <c r="H18" s="2" t="s">
        <v>80</v>
      </c>
      <c r="I18" s="2" t="s">
        <v>43</v>
      </c>
      <c r="K18" s="2">
        <v>1</v>
      </c>
      <c r="L18" s="2">
        <f t="shared" si="0"/>
        <v>1</v>
      </c>
      <c r="M18" s="2">
        <v>0</v>
      </c>
      <c r="N18" s="2">
        <f t="shared" si="1"/>
        <v>0</v>
      </c>
      <c r="O18" s="2">
        <f t="shared" si="4"/>
        <v>1</v>
      </c>
      <c r="P18" s="2">
        <f t="shared" si="2"/>
        <v>1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f t="shared" si="3"/>
        <v>1</v>
      </c>
      <c r="AD18" s="2" t="s">
        <v>81</v>
      </c>
      <c r="AE18" s="2">
        <v>1852</v>
      </c>
    </row>
    <row r="19" spans="1:37">
      <c r="A19" s="2">
        <v>17</v>
      </c>
      <c r="B19" s="2" t="s">
        <v>39</v>
      </c>
      <c r="C19" s="2" t="s">
        <v>42</v>
      </c>
      <c r="D19" s="2">
        <v>2010</v>
      </c>
      <c r="E19" s="9">
        <v>11.45</v>
      </c>
      <c r="F19" s="6">
        <v>1</v>
      </c>
      <c r="G19" s="2" t="s">
        <v>82</v>
      </c>
      <c r="H19" s="2" t="s">
        <v>83</v>
      </c>
      <c r="I19" s="2" t="s">
        <v>43</v>
      </c>
      <c r="K19" s="2">
        <v>2</v>
      </c>
      <c r="L19" s="2">
        <f t="shared" si="0"/>
        <v>2</v>
      </c>
      <c r="M19" s="2">
        <v>0</v>
      </c>
      <c r="N19" s="2">
        <f t="shared" si="1"/>
        <v>0</v>
      </c>
      <c r="O19" s="2">
        <f t="shared" si="4"/>
        <v>2</v>
      </c>
      <c r="P19" s="2">
        <f t="shared" si="2"/>
        <v>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2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f t="shared" si="3"/>
        <v>2</v>
      </c>
      <c r="AD19" s="2" t="s">
        <v>58</v>
      </c>
      <c r="AE19" s="2">
        <v>7408</v>
      </c>
    </row>
    <row r="20" spans="1:37">
      <c r="A20" s="2">
        <v>18</v>
      </c>
      <c r="B20" s="2" t="s">
        <v>39</v>
      </c>
      <c r="C20" s="2" t="s">
        <v>42</v>
      </c>
      <c r="D20" s="2">
        <v>2010</v>
      </c>
      <c r="E20" s="9">
        <v>11.46</v>
      </c>
      <c r="F20" s="6">
        <v>1</v>
      </c>
      <c r="G20" s="2" t="s">
        <v>82</v>
      </c>
      <c r="H20" s="2" t="s">
        <v>83</v>
      </c>
      <c r="I20" s="2" t="s">
        <v>43</v>
      </c>
      <c r="K20" s="2">
        <v>1</v>
      </c>
      <c r="L20" s="2">
        <f t="shared" si="0"/>
        <v>1</v>
      </c>
      <c r="M20" s="2">
        <v>1</v>
      </c>
      <c r="N20" s="2">
        <f t="shared" si="1"/>
        <v>1</v>
      </c>
      <c r="O20" s="2">
        <f t="shared" si="4"/>
        <v>2</v>
      </c>
      <c r="P20" s="2">
        <f t="shared" si="2"/>
        <v>2</v>
      </c>
      <c r="Q20" s="2">
        <v>0</v>
      </c>
      <c r="R20" s="2">
        <v>2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f t="shared" si="3"/>
        <v>2</v>
      </c>
      <c r="AD20" s="2" t="s">
        <v>58</v>
      </c>
      <c r="AE20" s="2">
        <v>3704</v>
      </c>
      <c r="AK20" s="2" t="s">
        <v>64</v>
      </c>
    </row>
    <row r="21" spans="1:37">
      <c r="A21" s="2">
        <v>19</v>
      </c>
      <c r="B21" s="2" t="s">
        <v>39</v>
      </c>
      <c r="C21" s="2" t="s">
        <v>42</v>
      </c>
      <c r="D21" s="2">
        <v>2010</v>
      </c>
      <c r="E21" s="9">
        <v>11.51</v>
      </c>
      <c r="F21" s="6">
        <v>1</v>
      </c>
      <c r="G21" s="2" t="s">
        <v>84</v>
      </c>
      <c r="H21" s="2" t="s">
        <v>85</v>
      </c>
      <c r="I21" s="2" t="s">
        <v>43</v>
      </c>
      <c r="K21" s="2">
        <v>1</v>
      </c>
      <c r="L21" s="2">
        <f t="shared" si="0"/>
        <v>1</v>
      </c>
      <c r="M21" s="2">
        <v>1</v>
      </c>
      <c r="N21" s="2">
        <f t="shared" si="1"/>
        <v>1</v>
      </c>
      <c r="O21" s="2">
        <f t="shared" si="4"/>
        <v>2</v>
      </c>
      <c r="P21" s="2">
        <f t="shared" si="2"/>
        <v>2</v>
      </c>
      <c r="Q21" s="2">
        <v>0</v>
      </c>
      <c r="R21" s="2">
        <v>0</v>
      </c>
      <c r="S21" s="2">
        <v>0</v>
      </c>
      <c r="T21" s="2">
        <v>0</v>
      </c>
      <c r="U21" s="2">
        <v>2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f t="shared" si="3"/>
        <v>2</v>
      </c>
      <c r="AD21" s="2" t="s">
        <v>86</v>
      </c>
      <c r="AE21" s="2">
        <v>1852</v>
      </c>
      <c r="AK21" s="2" t="s">
        <v>64</v>
      </c>
    </row>
    <row r="22" spans="1:37">
      <c r="A22" s="5">
        <v>20</v>
      </c>
      <c r="B22" s="2" t="s">
        <v>39</v>
      </c>
      <c r="C22" s="2" t="s">
        <v>42</v>
      </c>
      <c r="D22" s="2">
        <v>2010</v>
      </c>
      <c r="E22" s="9">
        <v>12.1</v>
      </c>
      <c r="F22" s="6">
        <v>1</v>
      </c>
      <c r="G22" s="2" t="s">
        <v>87</v>
      </c>
      <c r="H22" s="2" t="s">
        <v>88</v>
      </c>
      <c r="I22" s="2" t="s">
        <v>43</v>
      </c>
      <c r="K22" s="2">
        <v>1</v>
      </c>
      <c r="L22" s="2">
        <f t="shared" si="0"/>
        <v>1</v>
      </c>
      <c r="M22" s="2">
        <v>1</v>
      </c>
      <c r="N22" s="2">
        <f t="shared" si="1"/>
        <v>1</v>
      </c>
      <c r="O22" s="2">
        <f t="shared" si="4"/>
        <v>2</v>
      </c>
      <c r="P22" s="2">
        <f t="shared" si="2"/>
        <v>2</v>
      </c>
      <c r="Q22" s="2">
        <v>0</v>
      </c>
      <c r="R22" s="2">
        <v>0</v>
      </c>
      <c r="S22" s="2">
        <v>0</v>
      </c>
      <c r="T22" s="2">
        <v>0</v>
      </c>
      <c r="U22" s="2">
        <v>2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f t="shared" si="3"/>
        <v>2</v>
      </c>
      <c r="AD22" s="2" t="s">
        <v>86</v>
      </c>
      <c r="AE22" s="2">
        <v>700</v>
      </c>
      <c r="AK22" s="2" t="s">
        <v>64</v>
      </c>
    </row>
    <row r="23" spans="1:37">
      <c r="A23" s="2">
        <v>21</v>
      </c>
      <c r="B23" s="2" t="s">
        <v>39</v>
      </c>
      <c r="C23" s="2" t="s">
        <v>42</v>
      </c>
      <c r="D23" s="2">
        <v>2010</v>
      </c>
      <c r="E23" s="9">
        <v>12.11</v>
      </c>
      <c r="F23" s="6">
        <v>1</v>
      </c>
      <c r="G23" s="2" t="s">
        <v>87</v>
      </c>
      <c r="H23" s="2" t="s">
        <v>88</v>
      </c>
      <c r="I23" s="2" t="s">
        <v>43</v>
      </c>
      <c r="K23" s="2">
        <v>2</v>
      </c>
      <c r="L23" s="2">
        <f t="shared" si="0"/>
        <v>2</v>
      </c>
      <c r="M23" s="2">
        <v>0</v>
      </c>
      <c r="N23" s="2">
        <f t="shared" si="1"/>
        <v>0</v>
      </c>
      <c r="O23" s="2">
        <f t="shared" si="4"/>
        <v>2</v>
      </c>
      <c r="P23" s="2">
        <f t="shared" si="2"/>
        <v>2</v>
      </c>
      <c r="Q23" s="2">
        <v>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f t="shared" si="3"/>
        <v>2</v>
      </c>
      <c r="AD23" s="2" t="s">
        <v>58</v>
      </c>
      <c r="AE23" s="2">
        <v>9260</v>
      </c>
    </row>
    <row r="24" spans="1:37">
      <c r="A24" s="2">
        <v>22</v>
      </c>
      <c r="B24" s="2" t="s">
        <v>39</v>
      </c>
      <c r="C24" s="2" t="s">
        <v>42</v>
      </c>
      <c r="D24" s="2">
        <v>2010</v>
      </c>
      <c r="E24" s="9">
        <v>12.4</v>
      </c>
      <c r="F24" s="6">
        <v>1</v>
      </c>
      <c r="G24" s="2" t="s">
        <v>89</v>
      </c>
      <c r="H24" s="2" t="s">
        <v>90</v>
      </c>
      <c r="I24" s="2" t="s">
        <v>43</v>
      </c>
      <c r="K24" s="2">
        <v>1</v>
      </c>
      <c r="L24" s="2">
        <f t="shared" si="0"/>
        <v>1</v>
      </c>
      <c r="M24" s="2">
        <v>1</v>
      </c>
      <c r="N24" s="2">
        <f t="shared" si="1"/>
        <v>1</v>
      </c>
      <c r="O24" s="2">
        <f t="shared" si="4"/>
        <v>2</v>
      </c>
      <c r="P24" s="2">
        <f t="shared" si="2"/>
        <v>2</v>
      </c>
      <c r="Q24" s="2">
        <v>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f t="shared" si="3"/>
        <v>2</v>
      </c>
      <c r="AD24" s="2" t="s">
        <v>81</v>
      </c>
      <c r="AE24" s="2">
        <v>400</v>
      </c>
    </row>
    <row r="25" spans="1:37">
      <c r="A25" s="2">
        <v>23</v>
      </c>
      <c r="B25" s="2" t="s">
        <v>39</v>
      </c>
      <c r="C25" s="2" t="s">
        <v>42</v>
      </c>
      <c r="D25" s="2">
        <v>2010</v>
      </c>
      <c r="E25" s="9">
        <v>12.43</v>
      </c>
      <c r="F25" s="6">
        <v>1</v>
      </c>
      <c r="G25" s="2" t="s">
        <v>91</v>
      </c>
      <c r="H25" s="2" t="s">
        <v>92</v>
      </c>
      <c r="I25" s="2" t="s">
        <v>43</v>
      </c>
      <c r="K25" s="2">
        <v>1</v>
      </c>
      <c r="L25" s="2">
        <f t="shared" si="0"/>
        <v>1</v>
      </c>
      <c r="M25" s="2">
        <v>1</v>
      </c>
      <c r="N25" s="2">
        <f t="shared" si="1"/>
        <v>1</v>
      </c>
      <c r="O25" s="2">
        <f t="shared" si="4"/>
        <v>2</v>
      </c>
      <c r="P25" s="2">
        <f t="shared" si="2"/>
        <v>2</v>
      </c>
      <c r="Q25" s="2">
        <v>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f t="shared" si="3"/>
        <v>2</v>
      </c>
      <c r="AD25" s="2" t="s">
        <v>28</v>
      </c>
      <c r="AE25" s="2">
        <v>5556</v>
      </c>
    </row>
    <row r="26" spans="1:37">
      <c r="A26" s="5">
        <v>24</v>
      </c>
      <c r="B26" s="2" t="s">
        <v>39</v>
      </c>
      <c r="C26" s="2" t="s">
        <v>42</v>
      </c>
      <c r="D26" s="2">
        <v>2010</v>
      </c>
      <c r="E26" s="9">
        <v>12.57</v>
      </c>
      <c r="F26" s="6">
        <v>1</v>
      </c>
      <c r="G26" s="2" t="s">
        <v>93</v>
      </c>
      <c r="H26" s="2" t="s">
        <v>94</v>
      </c>
      <c r="I26" s="2" t="s">
        <v>43</v>
      </c>
      <c r="K26" s="2">
        <v>1</v>
      </c>
      <c r="L26" s="2">
        <f t="shared" si="0"/>
        <v>1</v>
      </c>
      <c r="M26" s="2">
        <v>1</v>
      </c>
      <c r="N26" s="2">
        <f t="shared" si="1"/>
        <v>1</v>
      </c>
      <c r="O26" s="2">
        <f t="shared" si="4"/>
        <v>2</v>
      </c>
      <c r="P26" s="2">
        <f t="shared" si="2"/>
        <v>2</v>
      </c>
      <c r="Q26" s="2">
        <v>0</v>
      </c>
      <c r="R26" s="2">
        <v>2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f t="shared" si="3"/>
        <v>2</v>
      </c>
      <c r="AD26" s="2" t="s">
        <v>28</v>
      </c>
      <c r="AE26" s="2">
        <v>3704</v>
      </c>
      <c r="AK26" s="2" t="s">
        <v>95</v>
      </c>
    </row>
    <row r="27" spans="1:37">
      <c r="A27" s="2">
        <v>25</v>
      </c>
      <c r="B27" s="5" t="s">
        <v>40</v>
      </c>
      <c r="C27" s="2" t="s">
        <v>42</v>
      </c>
      <c r="D27" s="2">
        <v>2010</v>
      </c>
      <c r="E27" s="9">
        <v>9.3000000000000007</v>
      </c>
      <c r="F27" s="2">
        <v>2</v>
      </c>
      <c r="G27" s="2" t="s">
        <v>97</v>
      </c>
      <c r="H27" s="2" t="s">
        <v>98</v>
      </c>
      <c r="I27" s="2" t="s">
        <v>43</v>
      </c>
      <c r="K27" s="2">
        <v>7</v>
      </c>
      <c r="L27" s="2">
        <f t="shared" si="0"/>
        <v>3.5</v>
      </c>
      <c r="M27" s="2">
        <v>0</v>
      </c>
      <c r="N27" s="2">
        <f t="shared" si="1"/>
        <v>0</v>
      </c>
      <c r="O27" s="2">
        <f t="shared" si="4"/>
        <v>7</v>
      </c>
      <c r="P27" s="2">
        <f t="shared" si="2"/>
        <v>3.5</v>
      </c>
      <c r="Q27" s="2">
        <v>0</v>
      </c>
      <c r="R27" s="2">
        <v>7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f t="shared" si="3"/>
        <v>7</v>
      </c>
      <c r="AD27" s="2" t="s">
        <v>86</v>
      </c>
      <c r="AE27" s="2">
        <v>1</v>
      </c>
      <c r="AG27" s="2" t="s">
        <v>96</v>
      </c>
    </row>
    <row r="28" spans="1:37">
      <c r="A28" s="2">
        <v>26</v>
      </c>
      <c r="B28" s="5" t="s">
        <v>40</v>
      </c>
      <c r="C28" s="2" t="s">
        <v>42</v>
      </c>
      <c r="D28" s="2">
        <v>2010</v>
      </c>
      <c r="E28" s="9">
        <v>9.3800000000000008</v>
      </c>
      <c r="F28" s="2">
        <v>2</v>
      </c>
      <c r="G28" s="2" t="s">
        <v>99</v>
      </c>
      <c r="H28" s="2" t="s">
        <v>100</v>
      </c>
      <c r="I28" s="2" t="s">
        <v>43</v>
      </c>
      <c r="K28" s="2">
        <v>1</v>
      </c>
      <c r="L28" s="2">
        <f t="shared" si="0"/>
        <v>0.5</v>
      </c>
      <c r="M28" s="2">
        <v>1</v>
      </c>
      <c r="N28" s="2">
        <f t="shared" si="1"/>
        <v>0.5</v>
      </c>
      <c r="O28" s="2">
        <f t="shared" si="4"/>
        <v>2</v>
      </c>
      <c r="P28" s="2">
        <f t="shared" si="2"/>
        <v>1</v>
      </c>
      <c r="Q28" s="2">
        <v>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f t="shared" si="3"/>
        <v>2</v>
      </c>
      <c r="AD28" s="2" t="s">
        <v>101</v>
      </c>
      <c r="AE28" s="2">
        <v>3704</v>
      </c>
    </row>
    <row r="29" spans="1:37">
      <c r="A29" s="2">
        <v>27</v>
      </c>
      <c r="B29" s="5" t="s">
        <v>40</v>
      </c>
      <c r="C29" s="2" t="s">
        <v>42</v>
      </c>
      <c r="D29" s="2">
        <v>2010</v>
      </c>
      <c r="E29" s="9">
        <v>9.5500000000000007</v>
      </c>
      <c r="F29" s="2">
        <v>2</v>
      </c>
      <c r="G29" s="2" t="s">
        <v>102</v>
      </c>
      <c r="H29" s="2" t="s">
        <v>103</v>
      </c>
      <c r="I29" s="2" t="s">
        <v>43</v>
      </c>
      <c r="K29" s="2">
        <v>1</v>
      </c>
      <c r="L29" s="2">
        <f t="shared" si="0"/>
        <v>0.5</v>
      </c>
      <c r="M29" s="2">
        <v>0</v>
      </c>
      <c r="N29" s="2">
        <f t="shared" si="1"/>
        <v>0</v>
      </c>
      <c r="O29" s="2">
        <f t="shared" si="4"/>
        <v>1</v>
      </c>
      <c r="P29" s="2">
        <f t="shared" si="2"/>
        <v>0.5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f t="shared" si="3"/>
        <v>1</v>
      </c>
      <c r="AD29" s="2" t="s">
        <v>81</v>
      </c>
      <c r="AE29" s="2">
        <v>7408</v>
      </c>
    </row>
    <row r="30" spans="1:37">
      <c r="A30" s="5">
        <v>28</v>
      </c>
      <c r="B30" s="5" t="s">
        <v>40</v>
      </c>
      <c r="C30" s="2" t="s">
        <v>42</v>
      </c>
      <c r="D30" s="2">
        <v>2010</v>
      </c>
      <c r="E30" s="9">
        <v>10.1</v>
      </c>
      <c r="F30" s="2">
        <v>1</v>
      </c>
      <c r="G30" s="2" t="s">
        <v>105</v>
      </c>
      <c r="H30" s="2" t="s">
        <v>104</v>
      </c>
      <c r="I30" s="2" t="s">
        <v>43</v>
      </c>
      <c r="K30" s="2">
        <v>1</v>
      </c>
      <c r="L30" s="2">
        <f t="shared" si="0"/>
        <v>1</v>
      </c>
      <c r="M30" s="2">
        <v>0</v>
      </c>
      <c r="N30" s="2">
        <f t="shared" si="1"/>
        <v>0</v>
      </c>
      <c r="O30" s="2">
        <f t="shared" si="4"/>
        <v>1</v>
      </c>
      <c r="P30" s="2">
        <f t="shared" si="2"/>
        <v>1</v>
      </c>
      <c r="Q30" s="2">
        <v>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f t="shared" si="3"/>
        <v>1</v>
      </c>
      <c r="AD30" s="2" t="s">
        <v>86</v>
      </c>
      <c r="AE30" s="2">
        <v>3704</v>
      </c>
    </row>
    <row r="31" spans="1:37">
      <c r="A31" s="2">
        <v>29</v>
      </c>
      <c r="B31" s="5" t="s">
        <v>40</v>
      </c>
      <c r="C31" s="2" t="s">
        <v>42</v>
      </c>
      <c r="D31" s="2">
        <v>2010</v>
      </c>
      <c r="E31" s="9">
        <v>10.25</v>
      </c>
      <c r="F31" s="2">
        <v>1</v>
      </c>
      <c r="G31" s="2" t="s">
        <v>106</v>
      </c>
      <c r="H31" s="2" t="s">
        <v>107</v>
      </c>
      <c r="I31" s="2" t="s">
        <v>43</v>
      </c>
      <c r="K31" s="2">
        <v>1</v>
      </c>
      <c r="L31" s="2">
        <f t="shared" si="0"/>
        <v>1</v>
      </c>
      <c r="M31" s="2">
        <v>1</v>
      </c>
      <c r="N31" s="2">
        <f t="shared" si="1"/>
        <v>1</v>
      </c>
      <c r="O31" s="2">
        <f t="shared" si="4"/>
        <v>2</v>
      </c>
      <c r="P31" s="2">
        <f t="shared" si="2"/>
        <v>2</v>
      </c>
      <c r="Q31" s="2">
        <v>2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f t="shared" si="3"/>
        <v>2</v>
      </c>
      <c r="AD31" s="2" t="s">
        <v>58</v>
      </c>
      <c r="AE31" s="2">
        <v>3704</v>
      </c>
      <c r="AK31" s="2" t="s">
        <v>108</v>
      </c>
    </row>
    <row r="32" spans="1:37">
      <c r="A32" s="2">
        <v>30</v>
      </c>
      <c r="B32" s="5" t="s">
        <v>40</v>
      </c>
      <c r="C32" s="2" t="s">
        <v>42</v>
      </c>
      <c r="D32" s="2">
        <v>2010</v>
      </c>
      <c r="E32" s="9">
        <v>10.32</v>
      </c>
      <c r="F32" s="6">
        <v>1</v>
      </c>
      <c r="G32" s="2" t="s">
        <v>109</v>
      </c>
      <c r="H32" s="2" t="s">
        <v>110</v>
      </c>
      <c r="I32" s="2" t="s">
        <v>43</v>
      </c>
      <c r="K32" s="2">
        <v>1</v>
      </c>
      <c r="L32" s="2">
        <f t="shared" si="0"/>
        <v>1</v>
      </c>
      <c r="M32" s="2">
        <v>1</v>
      </c>
      <c r="N32" s="2">
        <f t="shared" si="1"/>
        <v>1</v>
      </c>
      <c r="O32" s="2">
        <f t="shared" si="4"/>
        <v>2</v>
      </c>
      <c r="P32" s="2">
        <f t="shared" si="2"/>
        <v>2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f t="shared" si="3"/>
        <v>2</v>
      </c>
      <c r="AD32" s="2" t="s">
        <v>81</v>
      </c>
      <c r="AE32" s="2">
        <v>7408</v>
      </c>
      <c r="AK32" s="2" t="s">
        <v>111</v>
      </c>
    </row>
    <row r="33" spans="1:37" s="10" customFormat="1">
      <c r="A33" s="10">
        <v>31</v>
      </c>
      <c r="B33" s="11" t="s">
        <v>40</v>
      </c>
      <c r="C33" s="10" t="s">
        <v>42</v>
      </c>
      <c r="D33" s="10">
        <v>2010</v>
      </c>
      <c r="E33" s="12">
        <v>11.12</v>
      </c>
      <c r="F33" s="6">
        <v>1</v>
      </c>
      <c r="G33" s="10" t="s">
        <v>112</v>
      </c>
      <c r="H33" s="10" t="s">
        <v>113</v>
      </c>
      <c r="L33" s="10">
        <f t="shared" si="0"/>
        <v>0</v>
      </c>
      <c r="N33" s="10">
        <f t="shared" si="1"/>
        <v>0</v>
      </c>
      <c r="O33" s="10">
        <f t="shared" si="4"/>
        <v>0</v>
      </c>
      <c r="P33" s="10">
        <f t="shared" si="2"/>
        <v>0</v>
      </c>
      <c r="AC33" s="10">
        <f t="shared" si="3"/>
        <v>0</v>
      </c>
      <c r="AK33" s="10" t="s">
        <v>114</v>
      </c>
    </row>
    <row r="34" spans="1:37" s="10" customFormat="1">
      <c r="A34" s="11">
        <v>32</v>
      </c>
      <c r="B34" s="11" t="s">
        <v>40</v>
      </c>
      <c r="C34" s="10" t="s">
        <v>42</v>
      </c>
      <c r="D34" s="10">
        <v>2010</v>
      </c>
      <c r="E34" s="12">
        <v>11.37</v>
      </c>
      <c r="F34" s="6">
        <v>1</v>
      </c>
      <c r="G34" s="10" t="s">
        <v>115</v>
      </c>
      <c r="H34" s="10" t="s">
        <v>116</v>
      </c>
      <c r="L34" s="10">
        <f t="shared" si="0"/>
        <v>0</v>
      </c>
      <c r="N34" s="10">
        <f t="shared" si="1"/>
        <v>0</v>
      </c>
      <c r="O34" s="10">
        <f t="shared" si="4"/>
        <v>0</v>
      </c>
      <c r="P34" s="10">
        <f t="shared" si="2"/>
        <v>0</v>
      </c>
      <c r="AC34" s="10">
        <f t="shared" si="3"/>
        <v>0</v>
      </c>
      <c r="AK34" s="10" t="s">
        <v>117</v>
      </c>
    </row>
    <row r="35" spans="1:37">
      <c r="A35" s="2">
        <v>33</v>
      </c>
      <c r="B35" s="5" t="s">
        <v>40</v>
      </c>
      <c r="C35" s="2" t="s">
        <v>42</v>
      </c>
      <c r="D35" s="2">
        <v>2010</v>
      </c>
      <c r="E35" s="9">
        <v>11.48</v>
      </c>
      <c r="F35" s="6">
        <v>1</v>
      </c>
      <c r="G35" s="2" t="s">
        <v>118</v>
      </c>
      <c r="H35" s="2" t="s">
        <v>119</v>
      </c>
      <c r="I35" s="2" t="s">
        <v>43</v>
      </c>
      <c r="K35" s="2">
        <v>1</v>
      </c>
      <c r="L35" s="2">
        <f t="shared" si="0"/>
        <v>1</v>
      </c>
      <c r="M35" s="2">
        <v>0</v>
      </c>
      <c r="N35" s="2">
        <f t="shared" si="1"/>
        <v>0</v>
      </c>
      <c r="O35" s="2">
        <f t="shared" si="4"/>
        <v>1</v>
      </c>
      <c r="P35" s="2">
        <f t="shared" si="2"/>
        <v>1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f t="shared" si="3"/>
        <v>1</v>
      </c>
      <c r="AD35" s="2" t="s">
        <v>81</v>
      </c>
      <c r="AE35" s="2">
        <v>3704</v>
      </c>
    </row>
    <row r="36" spans="1:37">
      <c r="A36" s="2">
        <v>34</v>
      </c>
      <c r="B36" s="5" t="s">
        <v>40</v>
      </c>
      <c r="C36" s="2" t="s">
        <v>42</v>
      </c>
      <c r="D36" s="2">
        <v>2010</v>
      </c>
      <c r="E36" s="9">
        <v>11.53</v>
      </c>
      <c r="F36" s="6">
        <v>1</v>
      </c>
      <c r="G36" s="2" t="s">
        <v>120</v>
      </c>
      <c r="H36" s="2" t="s">
        <v>121</v>
      </c>
      <c r="I36" s="2" t="s">
        <v>43</v>
      </c>
      <c r="K36" s="2">
        <v>2</v>
      </c>
      <c r="L36" s="2">
        <f t="shared" si="0"/>
        <v>2</v>
      </c>
      <c r="M36" s="2">
        <v>0</v>
      </c>
      <c r="N36" s="2">
        <f t="shared" si="1"/>
        <v>0</v>
      </c>
      <c r="O36" s="2">
        <f t="shared" si="4"/>
        <v>2</v>
      </c>
      <c r="P36" s="2">
        <f t="shared" si="2"/>
        <v>2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f t="shared" si="3"/>
        <v>2</v>
      </c>
      <c r="AD36" s="2" t="s">
        <v>124</v>
      </c>
      <c r="AE36" s="2" t="s">
        <v>125</v>
      </c>
    </row>
    <row r="37" spans="1:37">
      <c r="A37" s="2">
        <v>35</v>
      </c>
      <c r="B37" s="5" t="s">
        <v>40</v>
      </c>
      <c r="C37" s="2" t="s">
        <v>42</v>
      </c>
      <c r="D37" s="2">
        <v>2010</v>
      </c>
      <c r="E37" s="9">
        <v>11.59</v>
      </c>
      <c r="F37" s="6">
        <v>1</v>
      </c>
      <c r="G37" s="2" t="s">
        <v>122</v>
      </c>
      <c r="H37" s="2" t="s">
        <v>123</v>
      </c>
      <c r="I37" s="2" t="s">
        <v>43</v>
      </c>
      <c r="K37" s="2">
        <v>1</v>
      </c>
      <c r="L37" s="2">
        <f t="shared" si="0"/>
        <v>1</v>
      </c>
      <c r="M37" s="2">
        <v>0</v>
      </c>
      <c r="N37" s="2">
        <f t="shared" si="1"/>
        <v>0</v>
      </c>
      <c r="O37" s="2">
        <f t="shared" si="4"/>
        <v>1</v>
      </c>
      <c r="P37" s="2">
        <f t="shared" si="2"/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f t="shared" si="3"/>
        <v>1</v>
      </c>
      <c r="AD37" s="2" t="s">
        <v>126</v>
      </c>
      <c r="AE37" s="2">
        <v>1852</v>
      </c>
    </row>
    <row r="38" spans="1:37">
      <c r="A38" s="5">
        <v>36</v>
      </c>
      <c r="B38" s="5" t="s">
        <v>40</v>
      </c>
      <c r="C38" s="2" t="s">
        <v>42</v>
      </c>
      <c r="D38" s="2">
        <v>2010</v>
      </c>
      <c r="E38" s="9">
        <v>12.06</v>
      </c>
      <c r="F38" s="6">
        <v>1</v>
      </c>
      <c r="G38" s="2" t="s">
        <v>127</v>
      </c>
      <c r="H38" s="2" t="s">
        <v>128</v>
      </c>
      <c r="I38" s="2" t="s">
        <v>43</v>
      </c>
      <c r="K38" s="2">
        <v>2</v>
      </c>
      <c r="L38" s="2">
        <f t="shared" si="0"/>
        <v>2</v>
      </c>
      <c r="M38" s="2">
        <v>1</v>
      </c>
      <c r="N38" s="2">
        <f t="shared" si="1"/>
        <v>1</v>
      </c>
      <c r="O38" s="2">
        <f t="shared" si="4"/>
        <v>3</v>
      </c>
      <c r="P38" s="2">
        <f t="shared" si="2"/>
        <v>3</v>
      </c>
      <c r="Q38" s="2">
        <v>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f t="shared" si="3"/>
        <v>2</v>
      </c>
      <c r="AD38" s="2" t="s">
        <v>77</v>
      </c>
      <c r="AE38" s="2">
        <v>1852</v>
      </c>
    </row>
    <row r="39" spans="1:37">
      <c r="A39" s="2">
        <v>37</v>
      </c>
      <c r="B39" s="5" t="s">
        <v>40</v>
      </c>
      <c r="C39" s="2" t="s">
        <v>42</v>
      </c>
      <c r="D39" s="2">
        <v>2010</v>
      </c>
      <c r="E39" s="9">
        <v>12.14</v>
      </c>
      <c r="F39" s="6">
        <v>1</v>
      </c>
      <c r="G39" s="2" t="s">
        <v>129</v>
      </c>
      <c r="H39" s="2" t="s">
        <v>130</v>
      </c>
      <c r="I39" s="2" t="s">
        <v>43</v>
      </c>
      <c r="K39" s="2">
        <v>1</v>
      </c>
      <c r="L39" s="2">
        <f t="shared" si="0"/>
        <v>1</v>
      </c>
      <c r="M39" s="2">
        <v>1</v>
      </c>
      <c r="N39" s="2">
        <f t="shared" si="1"/>
        <v>1</v>
      </c>
      <c r="O39" s="2">
        <f t="shared" si="4"/>
        <v>2</v>
      </c>
      <c r="P39" s="2">
        <f t="shared" si="2"/>
        <v>2</v>
      </c>
      <c r="Q39" s="2">
        <v>2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f t="shared" si="3"/>
        <v>2</v>
      </c>
      <c r="AD39" s="2" t="s">
        <v>62</v>
      </c>
      <c r="AE39" s="2">
        <v>2778</v>
      </c>
      <c r="AK39" s="2" t="s">
        <v>131</v>
      </c>
    </row>
    <row r="40" spans="1:37">
      <c r="A40" s="2">
        <v>38</v>
      </c>
      <c r="B40" s="5" t="s">
        <v>40</v>
      </c>
      <c r="C40" s="2" t="s">
        <v>42</v>
      </c>
      <c r="D40" s="2">
        <v>2010</v>
      </c>
      <c r="E40" s="9">
        <v>12.2</v>
      </c>
      <c r="F40" s="6">
        <v>1</v>
      </c>
      <c r="G40" s="2" t="s">
        <v>132</v>
      </c>
      <c r="H40" s="2" t="s">
        <v>133</v>
      </c>
      <c r="I40" s="2" t="s">
        <v>43</v>
      </c>
      <c r="K40" s="2">
        <v>1</v>
      </c>
      <c r="L40" s="2">
        <f t="shared" si="0"/>
        <v>1</v>
      </c>
      <c r="M40" s="2">
        <v>0</v>
      </c>
      <c r="N40" s="2">
        <f t="shared" si="1"/>
        <v>0</v>
      </c>
      <c r="O40" s="2">
        <f t="shared" si="4"/>
        <v>1</v>
      </c>
      <c r="P40" s="2">
        <f t="shared" si="2"/>
        <v>1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f t="shared" si="3"/>
        <v>1</v>
      </c>
      <c r="AD40" s="2" t="s">
        <v>28</v>
      </c>
      <c r="AE40" s="2">
        <v>60</v>
      </c>
    </row>
    <row r="41" spans="1:37">
      <c r="A41" s="2">
        <v>39</v>
      </c>
      <c r="B41" s="5" t="s">
        <v>40</v>
      </c>
      <c r="C41" s="2" t="s">
        <v>42</v>
      </c>
      <c r="D41" s="2">
        <v>2010</v>
      </c>
      <c r="E41" s="9">
        <v>12.29</v>
      </c>
      <c r="F41" s="6">
        <v>1</v>
      </c>
      <c r="G41" s="2" t="s">
        <v>134</v>
      </c>
      <c r="H41" s="2" t="s">
        <v>135</v>
      </c>
      <c r="I41" s="2" t="s">
        <v>43</v>
      </c>
      <c r="K41" s="2">
        <v>1</v>
      </c>
      <c r="L41" s="2">
        <f t="shared" si="0"/>
        <v>1</v>
      </c>
      <c r="M41" s="2">
        <v>1</v>
      </c>
      <c r="N41" s="2">
        <f t="shared" si="1"/>
        <v>1</v>
      </c>
      <c r="O41" s="2">
        <f t="shared" si="4"/>
        <v>2</v>
      </c>
      <c r="P41" s="2">
        <f t="shared" si="2"/>
        <v>2</v>
      </c>
      <c r="Q41" s="2">
        <v>0</v>
      </c>
      <c r="R41" s="2">
        <v>2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f t="shared" si="3"/>
        <v>2</v>
      </c>
      <c r="AD41" s="2" t="s">
        <v>67</v>
      </c>
      <c r="AE41" s="2">
        <v>900</v>
      </c>
    </row>
    <row r="42" spans="1:37">
      <c r="A42" s="5">
        <v>40</v>
      </c>
      <c r="B42" s="5" t="s">
        <v>40</v>
      </c>
      <c r="C42" s="2" t="s">
        <v>42</v>
      </c>
      <c r="D42" s="2">
        <v>2010</v>
      </c>
      <c r="E42" s="9">
        <v>12.32</v>
      </c>
      <c r="F42" s="6">
        <v>1</v>
      </c>
      <c r="G42" s="2" t="s">
        <v>136</v>
      </c>
      <c r="H42" s="2" t="s">
        <v>137</v>
      </c>
      <c r="I42" s="2" t="s">
        <v>43</v>
      </c>
      <c r="K42" s="2">
        <v>1</v>
      </c>
      <c r="L42" s="2">
        <f t="shared" si="0"/>
        <v>1</v>
      </c>
      <c r="M42" s="2">
        <v>0</v>
      </c>
      <c r="N42" s="2">
        <f t="shared" si="1"/>
        <v>0</v>
      </c>
      <c r="O42" s="2">
        <f t="shared" si="4"/>
        <v>1</v>
      </c>
      <c r="P42" s="2">
        <f t="shared" si="2"/>
        <v>1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f t="shared" si="3"/>
        <v>1</v>
      </c>
      <c r="AD42" s="2" t="s">
        <v>86</v>
      </c>
      <c r="AE42" s="2">
        <v>1852</v>
      </c>
    </row>
    <row r="43" spans="1:37">
      <c r="A43" s="2">
        <v>41</v>
      </c>
      <c r="B43" s="5" t="s">
        <v>40</v>
      </c>
      <c r="C43" s="2" t="s">
        <v>42</v>
      </c>
      <c r="D43" s="2">
        <v>2010</v>
      </c>
      <c r="E43" s="9">
        <v>12.35</v>
      </c>
      <c r="F43" s="6">
        <v>1</v>
      </c>
      <c r="G43" s="2" t="s">
        <v>138</v>
      </c>
      <c r="H43" s="2" t="s">
        <v>139</v>
      </c>
      <c r="I43" s="2" t="s">
        <v>43</v>
      </c>
      <c r="K43" s="2">
        <v>1</v>
      </c>
      <c r="L43" s="2">
        <f t="shared" si="0"/>
        <v>1</v>
      </c>
      <c r="M43" s="2">
        <v>1</v>
      </c>
      <c r="N43" s="2">
        <f t="shared" si="1"/>
        <v>1</v>
      </c>
      <c r="O43" s="2">
        <f t="shared" si="4"/>
        <v>2</v>
      </c>
      <c r="P43" s="2">
        <f t="shared" si="2"/>
        <v>2</v>
      </c>
      <c r="Q43" s="2">
        <v>0</v>
      </c>
      <c r="R43" s="2">
        <v>2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f t="shared" si="3"/>
        <v>2</v>
      </c>
      <c r="AD43" s="2" t="s">
        <v>58</v>
      </c>
      <c r="AE43" s="2">
        <v>3704</v>
      </c>
      <c r="AK43" s="2" t="s">
        <v>140</v>
      </c>
    </row>
    <row r="44" spans="1:37">
      <c r="A44" s="2">
        <v>42</v>
      </c>
      <c r="B44" s="5" t="s">
        <v>40</v>
      </c>
      <c r="C44" s="2" t="s">
        <v>42</v>
      </c>
      <c r="D44" s="2">
        <v>2010</v>
      </c>
      <c r="E44" s="9">
        <v>12.42</v>
      </c>
      <c r="F44" s="6">
        <v>1</v>
      </c>
      <c r="G44" s="2" t="s">
        <v>141</v>
      </c>
      <c r="H44" s="2" t="s">
        <v>142</v>
      </c>
      <c r="I44" s="2" t="s">
        <v>43</v>
      </c>
      <c r="K44" s="2">
        <v>2</v>
      </c>
      <c r="L44" s="2">
        <f t="shared" si="0"/>
        <v>2</v>
      </c>
      <c r="M44" s="2">
        <v>0</v>
      </c>
      <c r="N44" s="2">
        <f t="shared" si="1"/>
        <v>0</v>
      </c>
      <c r="O44" s="2">
        <f t="shared" si="4"/>
        <v>2</v>
      </c>
      <c r="P44" s="2">
        <f t="shared" si="2"/>
        <v>2</v>
      </c>
      <c r="Q44" s="2">
        <v>0</v>
      </c>
      <c r="R44" s="2">
        <v>2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f t="shared" si="3"/>
        <v>2</v>
      </c>
      <c r="AD44" s="2" t="s">
        <v>143</v>
      </c>
      <c r="AE44" s="2">
        <v>1852</v>
      </c>
      <c r="AK44" s="2" t="s">
        <v>140</v>
      </c>
    </row>
    <row r="45" spans="1:37">
      <c r="A45" s="2">
        <v>43</v>
      </c>
      <c r="B45" s="5" t="s">
        <v>40</v>
      </c>
      <c r="C45" s="2" t="s">
        <v>42</v>
      </c>
      <c r="D45" s="2">
        <v>2010</v>
      </c>
      <c r="E45" s="9">
        <v>13.48</v>
      </c>
      <c r="F45" s="6">
        <v>1</v>
      </c>
      <c r="G45" s="2" t="s">
        <v>144</v>
      </c>
      <c r="H45" s="2" t="s">
        <v>145</v>
      </c>
      <c r="I45" s="2" t="s">
        <v>43</v>
      </c>
      <c r="K45" s="2">
        <v>1</v>
      </c>
      <c r="L45" s="2">
        <f t="shared" si="0"/>
        <v>1</v>
      </c>
      <c r="M45" s="2">
        <v>1</v>
      </c>
      <c r="N45" s="2">
        <f t="shared" si="1"/>
        <v>1</v>
      </c>
      <c r="O45" s="2">
        <f t="shared" si="4"/>
        <v>2</v>
      </c>
      <c r="P45" s="2">
        <f t="shared" si="2"/>
        <v>2</v>
      </c>
      <c r="Q45" s="2">
        <v>0</v>
      </c>
      <c r="R45" s="2">
        <v>0</v>
      </c>
      <c r="S45" s="2">
        <v>0</v>
      </c>
      <c r="T45" s="2">
        <v>0</v>
      </c>
      <c r="U45" s="2">
        <v>2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f t="shared" si="3"/>
        <v>2</v>
      </c>
      <c r="AD45" s="2" t="s">
        <v>86</v>
      </c>
      <c r="AE45" s="2">
        <v>5556</v>
      </c>
    </row>
    <row r="46" spans="1:37" s="10" customFormat="1">
      <c r="A46" s="11">
        <v>44</v>
      </c>
      <c r="B46" s="11" t="s">
        <v>40</v>
      </c>
      <c r="C46" s="10" t="s">
        <v>42</v>
      </c>
      <c r="D46" s="10">
        <v>2010</v>
      </c>
      <c r="E46" s="12">
        <v>14.06</v>
      </c>
      <c r="F46" s="6">
        <v>1</v>
      </c>
      <c r="G46" s="10" t="s">
        <v>146</v>
      </c>
      <c r="H46" s="10" t="s">
        <v>147</v>
      </c>
      <c r="L46" s="10">
        <f t="shared" si="0"/>
        <v>0</v>
      </c>
      <c r="N46" s="10">
        <f t="shared" si="1"/>
        <v>0</v>
      </c>
      <c r="O46" s="10">
        <f t="shared" si="4"/>
        <v>0</v>
      </c>
      <c r="P46" s="10">
        <f t="shared" si="2"/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f t="shared" si="3"/>
        <v>0</v>
      </c>
      <c r="AK46" s="10" t="s">
        <v>148</v>
      </c>
    </row>
    <row r="47" spans="1:37" s="10" customFormat="1">
      <c r="A47" s="10">
        <v>45</v>
      </c>
      <c r="B47" s="11" t="s">
        <v>40</v>
      </c>
      <c r="C47" s="10" t="s">
        <v>42</v>
      </c>
      <c r="D47" s="10">
        <v>2010</v>
      </c>
      <c r="E47" s="12">
        <v>14.17</v>
      </c>
      <c r="F47" s="6">
        <v>1</v>
      </c>
      <c r="G47" s="10" t="s">
        <v>149</v>
      </c>
      <c r="H47" s="10" t="s">
        <v>150</v>
      </c>
      <c r="L47" s="10">
        <f t="shared" si="0"/>
        <v>0</v>
      </c>
      <c r="N47" s="10">
        <f t="shared" si="1"/>
        <v>0</v>
      </c>
      <c r="O47" s="10">
        <f t="shared" si="4"/>
        <v>0</v>
      </c>
      <c r="P47" s="10">
        <f t="shared" si="2"/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f t="shared" si="3"/>
        <v>0</v>
      </c>
      <c r="AK47" s="10" t="s">
        <v>151</v>
      </c>
    </row>
    <row r="48" spans="1:37" s="10" customFormat="1">
      <c r="A48" s="10">
        <v>46</v>
      </c>
      <c r="B48" s="11" t="s">
        <v>41</v>
      </c>
      <c r="C48" s="10" t="s">
        <v>42</v>
      </c>
      <c r="D48" s="10">
        <v>2010</v>
      </c>
      <c r="E48" s="12">
        <v>13.54</v>
      </c>
      <c r="F48" s="6">
        <v>1</v>
      </c>
      <c r="G48" s="10" t="s">
        <v>152</v>
      </c>
      <c r="H48" s="10" t="s">
        <v>153</v>
      </c>
      <c r="L48" s="10">
        <f t="shared" si="0"/>
        <v>0</v>
      </c>
      <c r="N48" s="10">
        <f t="shared" si="1"/>
        <v>0</v>
      </c>
      <c r="O48" s="10">
        <f t="shared" si="4"/>
        <v>0</v>
      </c>
      <c r="P48" s="10">
        <f t="shared" si="2"/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f t="shared" si="3"/>
        <v>0</v>
      </c>
      <c r="AK48" s="10" t="s">
        <v>154</v>
      </c>
    </row>
    <row r="49" spans="1:37">
      <c r="A49" s="2">
        <v>47</v>
      </c>
      <c r="B49" s="5" t="s">
        <v>41</v>
      </c>
      <c r="C49" s="2" t="s">
        <v>42</v>
      </c>
      <c r="D49" s="2">
        <v>2010</v>
      </c>
      <c r="E49" s="9">
        <v>14.05</v>
      </c>
      <c r="F49" s="6">
        <v>1</v>
      </c>
      <c r="G49" s="2" t="s">
        <v>155</v>
      </c>
      <c r="H49" s="2" t="s">
        <v>156</v>
      </c>
      <c r="I49" s="2" t="s">
        <v>43</v>
      </c>
      <c r="K49" s="2">
        <v>1</v>
      </c>
      <c r="L49" s="2">
        <f t="shared" si="0"/>
        <v>1</v>
      </c>
      <c r="M49" s="2">
        <v>1</v>
      </c>
      <c r="N49" s="2">
        <f t="shared" si="1"/>
        <v>1</v>
      </c>
      <c r="O49" s="2">
        <f t="shared" si="4"/>
        <v>2</v>
      </c>
      <c r="P49" s="2">
        <f t="shared" si="2"/>
        <v>2</v>
      </c>
      <c r="Q49" s="2">
        <v>0</v>
      </c>
      <c r="R49" s="2">
        <v>0</v>
      </c>
      <c r="S49" s="2">
        <v>0</v>
      </c>
      <c r="T49" s="2">
        <v>0</v>
      </c>
      <c r="U49" s="2">
        <v>2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f t="shared" si="3"/>
        <v>2</v>
      </c>
      <c r="AD49" s="2" t="s">
        <v>28</v>
      </c>
      <c r="AE49" s="2">
        <v>1852</v>
      </c>
      <c r="AK49" s="2" t="s">
        <v>157</v>
      </c>
    </row>
    <row r="50" spans="1:37">
      <c r="A50" s="5">
        <v>48</v>
      </c>
      <c r="B50" s="5" t="s">
        <v>41</v>
      </c>
      <c r="C50" s="2" t="s">
        <v>42</v>
      </c>
      <c r="D50" s="2">
        <v>2010</v>
      </c>
      <c r="E50" s="9">
        <v>14.12</v>
      </c>
      <c r="F50" s="6">
        <v>1</v>
      </c>
      <c r="G50" s="2" t="s">
        <v>158</v>
      </c>
      <c r="H50" s="2" t="s">
        <v>159</v>
      </c>
      <c r="I50" s="2" t="s">
        <v>43</v>
      </c>
      <c r="K50" s="2">
        <v>1</v>
      </c>
      <c r="L50" s="2">
        <f t="shared" si="0"/>
        <v>1</v>
      </c>
      <c r="M50" s="2">
        <v>1</v>
      </c>
      <c r="N50" s="2">
        <f t="shared" si="1"/>
        <v>1</v>
      </c>
      <c r="O50" s="2">
        <f t="shared" si="4"/>
        <v>2</v>
      </c>
      <c r="P50" s="2">
        <f t="shared" si="2"/>
        <v>2</v>
      </c>
      <c r="Q50" s="2">
        <v>0</v>
      </c>
      <c r="R50" s="2">
        <v>0</v>
      </c>
      <c r="S50" s="2">
        <v>0</v>
      </c>
      <c r="T50" s="2">
        <v>0</v>
      </c>
      <c r="U50" s="2">
        <v>2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f t="shared" si="3"/>
        <v>2</v>
      </c>
      <c r="AD50" s="2" t="s">
        <v>28</v>
      </c>
      <c r="AE50" s="2">
        <v>3704</v>
      </c>
    </row>
    <row r="51" spans="1:37">
      <c r="A51" s="2">
        <v>49</v>
      </c>
      <c r="B51" s="5" t="s">
        <v>41</v>
      </c>
      <c r="C51" s="2" t="s">
        <v>42</v>
      </c>
      <c r="D51" s="2">
        <v>2010</v>
      </c>
      <c r="E51" s="9">
        <v>14.25</v>
      </c>
      <c r="F51" s="6">
        <v>1</v>
      </c>
      <c r="G51" s="2" t="s">
        <v>162</v>
      </c>
      <c r="H51" s="2" t="s">
        <v>163</v>
      </c>
      <c r="I51" s="2" t="s">
        <v>43</v>
      </c>
      <c r="K51" s="2">
        <v>1</v>
      </c>
      <c r="L51" s="2">
        <f t="shared" si="0"/>
        <v>1</v>
      </c>
      <c r="M51" s="2">
        <v>0</v>
      </c>
      <c r="N51" s="2">
        <f t="shared" si="1"/>
        <v>0</v>
      </c>
      <c r="O51" s="2">
        <f t="shared" si="4"/>
        <v>1</v>
      </c>
      <c r="P51" s="2">
        <f t="shared" si="2"/>
        <v>1</v>
      </c>
      <c r="Q51" s="2">
        <v>0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f t="shared" si="3"/>
        <v>1</v>
      </c>
      <c r="AD51" s="2" t="s">
        <v>101</v>
      </c>
      <c r="AE51" s="2">
        <v>800</v>
      </c>
    </row>
    <row r="52" spans="1:37">
      <c r="A52" s="2">
        <v>50</v>
      </c>
      <c r="B52" s="5" t="s">
        <v>41</v>
      </c>
      <c r="C52" s="2" t="s">
        <v>42</v>
      </c>
      <c r="D52" s="2">
        <v>2010</v>
      </c>
      <c r="E52" s="9">
        <v>15.04</v>
      </c>
      <c r="F52" s="6">
        <v>1</v>
      </c>
      <c r="G52" s="2" t="s">
        <v>160</v>
      </c>
      <c r="H52" s="2" t="s">
        <v>161</v>
      </c>
      <c r="I52" s="2" t="s">
        <v>43</v>
      </c>
      <c r="K52" s="2">
        <v>1</v>
      </c>
      <c r="L52" s="2">
        <f t="shared" si="0"/>
        <v>1</v>
      </c>
      <c r="M52" s="2">
        <v>1</v>
      </c>
      <c r="N52" s="2">
        <f t="shared" si="1"/>
        <v>1</v>
      </c>
      <c r="O52" s="2">
        <f t="shared" si="4"/>
        <v>2</v>
      </c>
      <c r="P52" s="2">
        <f t="shared" si="2"/>
        <v>2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f t="shared" si="3"/>
        <v>2</v>
      </c>
      <c r="AD52" s="2" t="s">
        <v>62</v>
      </c>
      <c r="AE52" s="2">
        <v>1000</v>
      </c>
      <c r="AK52" s="2" t="s">
        <v>164</v>
      </c>
    </row>
    <row r="53" spans="1:37">
      <c r="A53" s="2">
        <v>51</v>
      </c>
      <c r="B53" s="5" t="s">
        <v>41</v>
      </c>
      <c r="C53" s="2" t="s">
        <v>42</v>
      </c>
      <c r="D53" s="2">
        <v>2010</v>
      </c>
      <c r="E53" s="9">
        <v>15.45</v>
      </c>
      <c r="F53" s="6">
        <v>1</v>
      </c>
      <c r="G53" s="2" t="s">
        <v>165</v>
      </c>
      <c r="H53" s="2" t="s">
        <v>166</v>
      </c>
      <c r="I53" s="2" t="s">
        <v>43</v>
      </c>
      <c r="K53" s="2">
        <v>1</v>
      </c>
      <c r="L53" s="2">
        <f t="shared" si="0"/>
        <v>1</v>
      </c>
      <c r="M53" s="2">
        <v>1</v>
      </c>
      <c r="N53" s="2">
        <f t="shared" si="1"/>
        <v>1</v>
      </c>
      <c r="O53" s="2">
        <f t="shared" si="4"/>
        <v>2</v>
      </c>
      <c r="P53" s="2">
        <f t="shared" si="2"/>
        <v>2</v>
      </c>
      <c r="Q53" s="2">
        <v>0</v>
      </c>
      <c r="R53" s="2">
        <v>0</v>
      </c>
      <c r="S53" s="2">
        <v>0</v>
      </c>
      <c r="T53" s="2">
        <v>0</v>
      </c>
      <c r="U53" s="2">
        <v>2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f t="shared" si="3"/>
        <v>2</v>
      </c>
      <c r="AD53" s="2" t="s">
        <v>86</v>
      </c>
      <c r="AE53" s="2">
        <v>1000</v>
      </c>
      <c r="AK53" s="2" t="s">
        <v>167</v>
      </c>
    </row>
    <row r="54" spans="1:37">
      <c r="A54" s="5">
        <v>52</v>
      </c>
      <c r="B54" s="5" t="s">
        <v>41</v>
      </c>
      <c r="C54" s="2" t="s">
        <v>42</v>
      </c>
      <c r="D54" s="2">
        <v>2010</v>
      </c>
      <c r="E54" s="9">
        <v>16.11</v>
      </c>
      <c r="F54" s="6">
        <v>1</v>
      </c>
      <c r="G54" s="2" t="s">
        <v>168</v>
      </c>
      <c r="H54" s="2" t="s">
        <v>169</v>
      </c>
      <c r="I54" s="2" t="s">
        <v>43</v>
      </c>
      <c r="K54" s="2">
        <v>1</v>
      </c>
      <c r="L54" s="2">
        <f t="shared" si="0"/>
        <v>1</v>
      </c>
      <c r="M54" s="2">
        <v>1</v>
      </c>
      <c r="N54" s="2">
        <f t="shared" si="1"/>
        <v>1</v>
      </c>
      <c r="O54" s="2">
        <f t="shared" si="4"/>
        <v>2</v>
      </c>
      <c r="P54" s="2">
        <f t="shared" si="2"/>
        <v>2</v>
      </c>
      <c r="Q54" s="2">
        <v>0</v>
      </c>
      <c r="R54" s="2">
        <v>0</v>
      </c>
      <c r="S54" s="2">
        <v>0</v>
      </c>
      <c r="T54" s="2">
        <v>0</v>
      </c>
      <c r="U54" s="2">
        <v>2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f t="shared" si="3"/>
        <v>2</v>
      </c>
      <c r="AD54" s="2" t="s">
        <v>170</v>
      </c>
      <c r="AE54" s="2">
        <v>1500</v>
      </c>
    </row>
    <row r="55" spans="1:37" s="10" customFormat="1">
      <c r="A55" s="10">
        <v>53</v>
      </c>
      <c r="B55" s="11" t="s">
        <v>41</v>
      </c>
      <c r="C55" s="10" t="s">
        <v>42</v>
      </c>
      <c r="D55" s="10">
        <v>2010</v>
      </c>
      <c r="E55" s="12">
        <v>16.34</v>
      </c>
      <c r="F55" s="6">
        <v>1</v>
      </c>
      <c r="G55" s="10" t="s">
        <v>171</v>
      </c>
      <c r="H55" s="10" t="s">
        <v>172</v>
      </c>
      <c r="AK55" s="10" t="s">
        <v>173</v>
      </c>
    </row>
  </sheetData>
  <mergeCells count="3">
    <mergeCell ref="B1:D1"/>
    <mergeCell ref="Q1:AC1"/>
    <mergeCell ref="G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2012-12-20T01:19:15Z</dcterms:created>
  <dcterms:modified xsi:type="dcterms:W3CDTF">2012-12-27T07:52:09Z</dcterms:modified>
</cp:coreProperties>
</file>