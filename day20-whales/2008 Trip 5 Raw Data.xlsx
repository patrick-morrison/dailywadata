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0" yWindow="2145" windowWidth="15270" windowHeight="5910"/>
  </bookViews>
  <sheets>
    <sheet name="Sheet1" sheetId="1" r:id="rId1"/>
    <sheet name="Sheet2" sheetId="2" r:id="rId2"/>
    <sheet name="Sheet3" sheetId="3" r:id="rId3"/>
    <sheet name="Sheet4" sheetId="4" r:id="rId4"/>
  </sheets>
  <calcPr calcId="125725"/>
</workbook>
</file>

<file path=xl/calcChain.xml><?xml version="1.0" encoding="utf-8"?>
<calcChain xmlns="http://schemas.openxmlformats.org/spreadsheetml/2006/main">
  <c r="O161" i="1"/>
  <c r="P161"/>
  <c r="Q161"/>
  <c r="M161"/>
  <c r="AD160"/>
  <c r="O160"/>
  <c r="P160"/>
  <c r="Q160" s="1"/>
  <c r="M160"/>
  <c r="O159"/>
  <c r="P159"/>
  <c r="Q159"/>
  <c r="M159"/>
  <c r="P158"/>
  <c r="O158"/>
  <c r="Q158"/>
  <c r="M158"/>
  <c r="O157"/>
  <c r="P157"/>
  <c r="Q157"/>
  <c r="M157"/>
  <c r="O156"/>
  <c r="P156"/>
  <c r="Q156"/>
  <c r="M156"/>
  <c r="O155"/>
  <c r="P155"/>
  <c r="Q155"/>
  <c r="M155"/>
  <c r="O154"/>
  <c r="P154"/>
  <c r="Q154"/>
  <c r="M154"/>
  <c r="O153"/>
  <c r="P153"/>
  <c r="Q153"/>
  <c r="M153"/>
  <c r="O152"/>
  <c r="P152"/>
  <c r="Q152"/>
  <c r="M152"/>
  <c r="O151"/>
  <c r="P151"/>
  <c r="Q151"/>
  <c r="M151"/>
  <c r="O150"/>
  <c r="P150"/>
  <c r="Q150"/>
  <c r="M150"/>
  <c r="O149"/>
  <c r="P149"/>
  <c r="Q149"/>
  <c r="M149"/>
  <c r="O148"/>
  <c r="P148"/>
  <c r="Q148"/>
  <c r="M148"/>
  <c r="O147"/>
  <c r="P147"/>
  <c r="Q147"/>
  <c r="M147"/>
  <c r="AD146"/>
  <c r="O146"/>
  <c r="P146"/>
  <c r="Q146" s="1"/>
  <c r="M146"/>
  <c r="O145"/>
  <c r="P145"/>
  <c r="Q145" s="1"/>
  <c r="M145"/>
  <c r="O144"/>
  <c r="P144"/>
  <c r="Q144" s="1"/>
  <c r="M144"/>
  <c r="O143"/>
  <c r="P143"/>
  <c r="Q143" s="1"/>
  <c r="M143"/>
  <c r="O142"/>
  <c r="P142"/>
  <c r="Q142" s="1"/>
  <c r="M142"/>
  <c r="O141"/>
  <c r="P141"/>
  <c r="Q141" s="1"/>
  <c r="M141"/>
  <c r="O140"/>
  <c r="P140"/>
  <c r="Q140" s="1"/>
  <c r="M140"/>
  <c r="O139"/>
  <c r="P139"/>
  <c r="Q139" s="1"/>
  <c r="M139"/>
  <c r="O138"/>
  <c r="P138"/>
  <c r="Q138" s="1"/>
  <c r="M138"/>
  <c r="O137"/>
  <c r="P137"/>
  <c r="Q137" s="1"/>
  <c r="M137"/>
  <c r="O136"/>
  <c r="P136"/>
  <c r="Q136" s="1"/>
  <c r="M136"/>
  <c r="O135"/>
  <c r="P135"/>
  <c r="Q135" s="1"/>
  <c r="M135"/>
  <c r="O134"/>
  <c r="P134"/>
  <c r="Q134" s="1"/>
  <c r="M134"/>
  <c r="O133"/>
  <c r="P133"/>
  <c r="Q133" s="1"/>
  <c r="M133"/>
  <c r="O132"/>
  <c r="P132"/>
  <c r="Q132" s="1"/>
  <c r="M132"/>
  <c r="O131"/>
  <c r="P131"/>
  <c r="Q131" s="1"/>
  <c r="M131"/>
  <c r="O130"/>
  <c r="P130"/>
  <c r="Q130" s="1"/>
  <c r="M130"/>
  <c r="O129"/>
  <c r="P129"/>
  <c r="Q129" s="1"/>
  <c r="M129"/>
  <c r="AD128"/>
  <c r="O128"/>
  <c r="P128"/>
  <c r="Q128"/>
  <c r="M128"/>
  <c r="O127"/>
  <c r="P127"/>
  <c r="Q127"/>
  <c r="M127"/>
  <c r="O126"/>
  <c r="P126"/>
  <c r="Q126"/>
  <c r="M126"/>
  <c r="O125"/>
  <c r="P125"/>
  <c r="Q125"/>
  <c r="M125"/>
  <c r="O124"/>
  <c r="P124"/>
  <c r="Q124"/>
  <c r="M124"/>
  <c r="O123"/>
  <c r="P123"/>
  <c r="Q123"/>
  <c r="M123"/>
  <c r="O122"/>
  <c r="P122"/>
  <c r="Q122"/>
  <c r="M122"/>
  <c r="O121"/>
  <c r="P121"/>
  <c r="Q121"/>
  <c r="M121"/>
  <c r="O120"/>
  <c r="P120"/>
  <c r="Q120"/>
  <c r="M120"/>
  <c r="O119"/>
  <c r="P119"/>
  <c r="Q119"/>
  <c r="M119"/>
  <c r="O118"/>
  <c r="P118"/>
  <c r="Q118"/>
  <c r="M118"/>
  <c r="O117"/>
  <c r="P117"/>
  <c r="Q117"/>
  <c r="M117"/>
  <c r="O116"/>
  <c r="P116"/>
  <c r="Q116"/>
  <c r="M116"/>
  <c r="O115"/>
  <c r="P115"/>
  <c r="Q115"/>
  <c r="M115"/>
  <c r="O114"/>
  <c r="P114"/>
  <c r="Q114"/>
  <c r="M114"/>
  <c r="O113"/>
  <c r="P113"/>
  <c r="Q113"/>
  <c r="M113"/>
  <c r="O112"/>
  <c r="P112"/>
  <c r="Q112"/>
  <c r="M112"/>
  <c r="O111"/>
  <c r="P111"/>
  <c r="Q111"/>
  <c r="M111"/>
  <c r="O110"/>
  <c r="P110"/>
  <c r="Q110"/>
  <c r="M110"/>
  <c r="O109"/>
  <c r="P109"/>
  <c r="Q109"/>
  <c r="M109"/>
  <c r="O108"/>
  <c r="P108"/>
  <c r="Q108"/>
  <c r="M108"/>
  <c r="O107"/>
  <c r="P107"/>
  <c r="Q107"/>
  <c r="M107"/>
  <c r="O106"/>
  <c r="P106"/>
  <c r="Q106"/>
  <c r="M106"/>
  <c r="O105"/>
  <c r="P105"/>
  <c r="Q105"/>
  <c r="M105"/>
  <c r="O104"/>
  <c r="P104"/>
  <c r="Q104"/>
  <c r="M104"/>
  <c r="O103"/>
  <c r="P103"/>
  <c r="Q103"/>
  <c r="M103"/>
  <c r="O102"/>
  <c r="P102"/>
  <c r="Q102"/>
  <c r="M102"/>
  <c r="O101"/>
  <c r="P101"/>
  <c r="Q101"/>
  <c r="M101"/>
  <c r="O100"/>
  <c r="P100"/>
  <c r="Q100"/>
  <c r="M100"/>
  <c r="O99"/>
  <c r="P99"/>
  <c r="Q99"/>
  <c r="M99"/>
  <c r="O98"/>
  <c r="P98"/>
  <c r="Q98"/>
  <c r="M98"/>
  <c r="O97"/>
  <c r="P97"/>
  <c r="Q97"/>
  <c r="M97"/>
  <c r="O96"/>
  <c r="P96"/>
  <c r="Q96"/>
  <c r="M96"/>
  <c r="O95"/>
  <c r="P95"/>
  <c r="Q95"/>
  <c r="M95"/>
  <c r="O94"/>
  <c r="P94"/>
  <c r="Q94"/>
  <c r="M94"/>
  <c r="O93"/>
  <c r="P93"/>
  <c r="Q93"/>
  <c r="M93"/>
  <c r="O92"/>
  <c r="P92"/>
  <c r="Q92"/>
  <c r="M92"/>
  <c r="O91"/>
  <c r="P91"/>
  <c r="Q91"/>
  <c r="M91"/>
  <c r="O90"/>
  <c r="P90"/>
  <c r="Q90"/>
  <c r="M90"/>
  <c r="O89"/>
  <c r="P89"/>
  <c r="Q89"/>
  <c r="M89"/>
  <c r="O88"/>
  <c r="P88"/>
  <c r="Q88"/>
  <c r="M88"/>
  <c r="O87"/>
  <c r="P87"/>
  <c r="Q87"/>
  <c r="M87"/>
  <c r="O86"/>
  <c r="P86"/>
  <c r="Q86"/>
  <c r="M86"/>
  <c r="AD85"/>
  <c r="O85"/>
  <c r="P85"/>
  <c r="Q85" s="1"/>
  <c r="M85"/>
  <c r="O84"/>
  <c r="P84"/>
  <c r="Q84" s="1"/>
  <c r="M84"/>
  <c r="O83"/>
  <c r="P83"/>
  <c r="Q83" s="1"/>
  <c r="M83"/>
  <c r="O82"/>
  <c r="P82"/>
  <c r="Q82" s="1"/>
  <c r="M82"/>
  <c r="O81"/>
  <c r="P81"/>
  <c r="Q81" s="1"/>
  <c r="M81"/>
  <c r="O80"/>
  <c r="P80"/>
  <c r="Q80" s="1"/>
  <c r="M80"/>
  <c r="O79"/>
  <c r="P79"/>
  <c r="Q79" s="1"/>
  <c r="M79"/>
  <c r="O78"/>
  <c r="P78"/>
  <c r="Q78" s="1"/>
  <c r="M78"/>
  <c r="O77"/>
  <c r="P77"/>
  <c r="Q77" s="1"/>
  <c r="M77"/>
  <c r="O76"/>
  <c r="P76"/>
  <c r="Q76" s="1"/>
  <c r="M76"/>
  <c r="O75"/>
  <c r="P75"/>
  <c r="Q75" s="1"/>
  <c r="M75"/>
  <c r="O74"/>
  <c r="P74"/>
  <c r="Q74" s="1"/>
  <c r="M74"/>
  <c r="O73"/>
  <c r="P73"/>
  <c r="Q73" s="1"/>
  <c r="M73"/>
  <c r="O72"/>
  <c r="P72"/>
  <c r="Q72" s="1"/>
  <c r="M72"/>
  <c r="O71"/>
  <c r="P71"/>
  <c r="Q71" s="1"/>
  <c r="M71"/>
  <c r="O70"/>
  <c r="P70"/>
  <c r="Q70" s="1"/>
  <c r="M70"/>
  <c r="O69"/>
  <c r="P69"/>
  <c r="Q69" s="1"/>
  <c r="M69"/>
  <c r="O68"/>
  <c r="P68"/>
  <c r="Q68" s="1"/>
  <c r="M68"/>
  <c r="O67"/>
  <c r="P67"/>
  <c r="Q67" s="1"/>
  <c r="M67"/>
  <c r="O66"/>
  <c r="P66"/>
  <c r="Q66" s="1"/>
  <c r="M66"/>
  <c r="O65"/>
  <c r="P65"/>
  <c r="Q65" s="1"/>
  <c r="M65"/>
  <c r="O64"/>
  <c r="P64"/>
  <c r="Q64" s="1"/>
  <c r="M64"/>
  <c r="O63"/>
  <c r="P63"/>
  <c r="Q63" s="1"/>
  <c r="M63"/>
  <c r="O62"/>
  <c r="P62"/>
  <c r="Q62" s="1"/>
  <c r="M62"/>
  <c r="O61"/>
  <c r="P61"/>
  <c r="Q61" s="1"/>
  <c r="M61"/>
  <c r="O60"/>
  <c r="P60"/>
  <c r="Q60" s="1"/>
  <c r="M60"/>
  <c r="O59"/>
  <c r="P59"/>
  <c r="Q59" s="1"/>
  <c r="M59"/>
  <c r="O58"/>
  <c r="P58"/>
  <c r="Q58" s="1"/>
  <c r="M58"/>
  <c r="O57"/>
  <c r="P57"/>
  <c r="Q57" s="1"/>
  <c r="M57"/>
  <c r="O56"/>
  <c r="P56"/>
  <c r="Q56" s="1"/>
  <c r="M56"/>
  <c r="O55"/>
  <c r="P55"/>
  <c r="Q55" s="1"/>
  <c r="M55"/>
  <c r="O54"/>
  <c r="P54"/>
  <c r="Q54" s="1"/>
  <c r="M54"/>
  <c r="O53"/>
  <c r="P53"/>
  <c r="Q53" s="1"/>
  <c r="M53"/>
  <c r="O52"/>
  <c r="P52"/>
  <c r="Q52" s="1"/>
  <c r="M52"/>
  <c r="O51"/>
  <c r="P51"/>
  <c r="Q51" s="1"/>
  <c r="M51"/>
  <c r="O50"/>
  <c r="P50"/>
  <c r="Q50" s="1"/>
  <c r="M50"/>
  <c r="O49"/>
  <c r="P49"/>
  <c r="Q49" s="1"/>
  <c r="M49"/>
  <c r="O48"/>
  <c r="P48"/>
  <c r="Q48"/>
  <c r="M48"/>
  <c r="O47"/>
  <c r="P47"/>
  <c r="Q47"/>
  <c r="M47"/>
  <c r="O46"/>
  <c r="P46"/>
  <c r="Q46"/>
  <c r="M46"/>
  <c r="O45"/>
  <c r="P45"/>
  <c r="Q45"/>
  <c r="M45"/>
  <c r="O44"/>
  <c r="P44"/>
  <c r="Q44"/>
  <c r="M44"/>
  <c r="O43"/>
  <c r="P43"/>
  <c r="Q43"/>
  <c r="M43"/>
  <c r="O42"/>
  <c r="P42"/>
  <c r="Q42"/>
  <c r="M42"/>
  <c r="O41"/>
  <c r="P41"/>
  <c r="Q41"/>
  <c r="M41"/>
  <c r="O40" l="1"/>
  <c r="P40"/>
  <c r="Q40" s="1"/>
  <c r="M40"/>
  <c r="AD32"/>
  <c r="AD24"/>
  <c r="AD15" l="1"/>
  <c r="AD16"/>
  <c r="AD17"/>
  <c r="AD18"/>
  <c r="AD19"/>
  <c r="AD20"/>
  <c r="AD21"/>
  <c r="AD22"/>
  <c r="AD23"/>
  <c r="AD25"/>
  <c r="AD26"/>
  <c r="AD27"/>
  <c r="AD28"/>
  <c r="AD29"/>
  <c r="AD30"/>
  <c r="AD31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9"/>
  <c r="AD130"/>
  <c r="AD131"/>
  <c r="AD132"/>
  <c r="AD133"/>
  <c r="AD134"/>
  <c r="AD135"/>
  <c r="AD136"/>
  <c r="AD137"/>
  <c r="AD138"/>
  <c r="AD139"/>
  <c r="AD140"/>
  <c r="AD141"/>
  <c r="AD142"/>
  <c r="AD143"/>
  <c r="AD144"/>
  <c r="AD145"/>
  <c r="AD147"/>
  <c r="AD148"/>
  <c r="AD149"/>
  <c r="AD150"/>
  <c r="AD151"/>
  <c r="AD152"/>
  <c r="AD153"/>
  <c r="AD154"/>
  <c r="AD155"/>
  <c r="AD156"/>
  <c r="AD157"/>
  <c r="AD158"/>
  <c r="AD159"/>
  <c r="AD3"/>
  <c r="AD4"/>
  <c r="AD5"/>
  <c r="AD6"/>
  <c r="AD7"/>
  <c r="AD8"/>
  <c r="AD9"/>
  <c r="AD10"/>
  <c r="AD11"/>
  <c r="AD12"/>
  <c r="AD13"/>
  <c r="AD14"/>
  <c r="O7"/>
  <c r="O4" l="1"/>
  <c r="O5"/>
  <c r="O6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P4"/>
  <c r="Q4" s="1"/>
  <c r="P5"/>
  <c r="Q5" s="1"/>
  <c r="P6"/>
  <c r="Q6" s="1"/>
  <c r="P7"/>
  <c r="Q7" s="1"/>
  <c r="P8"/>
  <c r="Q8" s="1"/>
  <c r="P9"/>
  <c r="Q9" s="1"/>
  <c r="P10"/>
  <c r="Q10" s="1"/>
  <c r="P11"/>
  <c r="Q11" s="1"/>
  <c r="P12"/>
  <c r="Q12" s="1"/>
  <c r="P13"/>
  <c r="Q13" s="1"/>
  <c r="P14"/>
  <c r="Q14" s="1"/>
  <c r="P15"/>
  <c r="Q15" s="1"/>
  <c r="P16"/>
  <c r="Q16" s="1"/>
  <c r="P17"/>
  <c r="Q17" s="1"/>
  <c r="P18"/>
  <c r="Q18" s="1"/>
  <c r="P19"/>
  <c r="Q19" s="1"/>
  <c r="P20"/>
  <c r="Q20" s="1"/>
  <c r="P21"/>
  <c r="Q21" s="1"/>
  <c r="P22"/>
  <c r="Q22" s="1"/>
  <c r="P23"/>
  <c r="Q23" s="1"/>
  <c r="P24"/>
  <c r="Q24" s="1"/>
  <c r="P25"/>
  <c r="Q25" s="1"/>
  <c r="P26"/>
  <c r="Q26" s="1"/>
  <c r="P27"/>
  <c r="Q27" s="1"/>
  <c r="P28"/>
  <c r="Q28" s="1"/>
  <c r="P29"/>
  <c r="Q29" s="1"/>
  <c r="P30"/>
  <c r="Q30" s="1"/>
  <c r="P31"/>
  <c r="Q31" s="1"/>
  <c r="P32"/>
  <c r="Q32" s="1"/>
  <c r="P33"/>
  <c r="Q33" s="1"/>
  <c r="P34"/>
  <c r="Q34" s="1"/>
  <c r="P35"/>
  <c r="Q35" s="1"/>
  <c r="P36"/>
  <c r="Q36" s="1"/>
  <c r="P37"/>
  <c r="Q37" s="1"/>
  <c r="P38"/>
  <c r="Q38" s="1"/>
  <c r="P39"/>
  <c r="Q39" s="1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Q3"/>
  <c r="P3"/>
  <c r="O3"/>
  <c r="M3"/>
</calcChain>
</file>

<file path=xl/sharedStrings.xml><?xml version="1.0" encoding="utf-8"?>
<sst xmlns="http://schemas.openxmlformats.org/spreadsheetml/2006/main" count="1558" uniqueCount="488">
  <si>
    <t>Date</t>
  </si>
  <si>
    <t>Time</t>
  </si>
  <si>
    <t>Observers</t>
  </si>
  <si>
    <t>Day</t>
  </si>
  <si>
    <t>Month</t>
  </si>
  <si>
    <t>Year</t>
  </si>
  <si>
    <t>24hrs</t>
  </si>
  <si>
    <t>No. Observers</t>
  </si>
  <si>
    <t>Latitude</t>
  </si>
  <si>
    <t>Longitude</t>
  </si>
  <si>
    <t>No. Adult Whales</t>
  </si>
  <si>
    <t>Normalised per person</t>
  </si>
  <si>
    <t>No. calves</t>
  </si>
  <si>
    <t>Total No. whales</t>
  </si>
  <si>
    <t>Whales Sighted Relative to Vessel</t>
  </si>
  <si>
    <t>Distance (m)</t>
  </si>
  <si>
    <t>Whale Travelling</t>
  </si>
  <si>
    <t>Location</t>
  </si>
  <si>
    <t>Speed Over Ground (knots)</t>
  </si>
  <si>
    <t>Weather Condition</t>
  </si>
  <si>
    <t>Sea/Swell</t>
  </si>
  <si>
    <t>Comments</t>
  </si>
  <si>
    <t>Encounter No.</t>
  </si>
  <si>
    <t>17th</t>
  </si>
  <si>
    <t>September</t>
  </si>
  <si>
    <r>
      <t>122</t>
    </r>
    <r>
      <rPr>
        <sz val="11"/>
        <color theme="1"/>
        <rFont val="Calibri"/>
        <family val="2"/>
      </rPr>
      <t>˚ 58.349'E</t>
    </r>
  </si>
  <si>
    <r>
      <t>16</t>
    </r>
    <r>
      <rPr>
        <sz val="11"/>
        <color theme="1"/>
        <rFont val="Calibri"/>
        <family val="2"/>
      </rPr>
      <t>˚ 14.123'S</t>
    </r>
  </si>
  <si>
    <t>Species (HB/SR)</t>
  </si>
  <si>
    <t>Other Species</t>
  </si>
  <si>
    <t>HB</t>
  </si>
  <si>
    <t>N</t>
  </si>
  <si>
    <t>Whale Behaviours</t>
  </si>
  <si>
    <t>B</t>
  </si>
  <si>
    <t>Bl</t>
  </si>
  <si>
    <t>LT</t>
  </si>
  <si>
    <t>PS</t>
  </si>
  <si>
    <t>L</t>
  </si>
  <si>
    <t>ST</t>
  </si>
  <si>
    <t>CS</t>
  </si>
  <si>
    <t>SH</t>
  </si>
  <si>
    <t>BD</t>
  </si>
  <si>
    <t>BR</t>
  </si>
  <si>
    <t>Other</t>
  </si>
  <si>
    <t>Total</t>
  </si>
  <si>
    <t>Entry to Camden Sound</t>
  </si>
  <si>
    <t>Sunny</t>
  </si>
  <si>
    <t>Calm</t>
  </si>
  <si>
    <t>16˚ 12.323'S</t>
  </si>
  <si>
    <t>123˚ 00.498'E</t>
  </si>
  <si>
    <t>Heading N out of King Sound</t>
  </si>
  <si>
    <t>All 4 heading North out of King Sound</t>
  </si>
  <si>
    <t>Vessel Heading</t>
  </si>
  <si>
    <t>050˚</t>
  </si>
  <si>
    <t>048˚</t>
  </si>
  <si>
    <t>2 Dolphin</t>
  </si>
  <si>
    <t>16˚ 01.579'S</t>
  </si>
  <si>
    <t>123˚ 13.577'E</t>
  </si>
  <si>
    <t>Starboard</t>
  </si>
  <si>
    <t>8 Dolphins</t>
  </si>
  <si>
    <t>8 Dolphins 200m Starboard</t>
  </si>
  <si>
    <t>S</t>
  </si>
  <si>
    <t>079˚</t>
  </si>
  <si>
    <t>5 Dolphins</t>
  </si>
  <si>
    <t>077˚</t>
  </si>
  <si>
    <t>082˚</t>
  </si>
  <si>
    <t>087˚</t>
  </si>
  <si>
    <t>081˚</t>
  </si>
  <si>
    <t>080˚</t>
  </si>
  <si>
    <t>091˚</t>
  </si>
  <si>
    <t>Sunny/Hazy</t>
  </si>
  <si>
    <t>104˚</t>
  </si>
  <si>
    <t>083˚</t>
  </si>
  <si>
    <t>Straight Ahead</t>
  </si>
  <si>
    <t>086˚</t>
  </si>
  <si>
    <t>085˚</t>
  </si>
  <si>
    <t>6 Dolphins</t>
  </si>
  <si>
    <t>092˚</t>
  </si>
  <si>
    <t>098˚</t>
  </si>
  <si>
    <t>W</t>
  </si>
  <si>
    <t>096˚</t>
  </si>
  <si>
    <t>105˚</t>
  </si>
  <si>
    <t>103˚</t>
  </si>
  <si>
    <t>101˚</t>
  </si>
  <si>
    <t>Moving away</t>
  </si>
  <si>
    <t>Boat Stopped</t>
  </si>
  <si>
    <t>075˚</t>
  </si>
  <si>
    <t>225˚</t>
  </si>
  <si>
    <t>078˚</t>
  </si>
  <si>
    <t>0.79˚</t>
  </si>
  <si>
    <t>18th</t>
  </si>
  <si>
    <t>16˚ 04.379'S</t>
  </si>
  <si>
    <t>Fine</t>
  </si>
  <si>
    <t>1 Unidentified</t>
  </si>
  <si>
    <t>1 Dolphin</t>
  </si>
  <si>
    <t>Collier Bay</t>
  </si>
  <si>
    <t>Dolphin jumped out of water. On way to Hall Point.</t>
  </si>
  <si>
    <t>Perfect</t>
  </si>
  <si>
    <t>139˚</t>
  </si>
  <si>
    <t>On way to Hall Point.</t>
  </si>
  <si>
    <t>15˚ 59.948'S</t>
  </si>
  <si>
    <t>124˚ 22.589'E</t>
  </si>
  <si>
    <t>On Horizon. On way to Hall Point.</t>
  </si>
  <si>
    <t>North West</t>
  </si>
  <si>
    <t>358˚</t>
  </si>
  <si>
    <t>15˚ 46.749'S</t>
  </si>
  <si>
    <t>124˚ 22.003'E</t>
  </si>
  <si>
    <t>19th</t>
  </si>
  <si>
    <t>20th</t>
  </si>
  <si>
    <t>21st</t>
  </si>
  <si>
    <t>Hall Point (Camden Sound)</t>
  </si>
  <si>
    <t>Sunny, calm winds</t>
  </si>
  <si>
    <t>Nil</t>
  </si>
  <si>
    <t>220˚</t>
  </si>
  <si>
    <t>779˚</t>
  </si>
  <si>
    <t>312˚</t>
  </si>
  <si>
    <t>Stopped at 10.26, resumed 13.00</t>
  </si>
  <si>
    <t>Turtle</t>
  </si>
  <si>
    <t>059˚</t>
  </si>
  <si>
    <t>Really Calm</t>
  </si>
  <si>
    <t>15˚ 42.365'S</t>
  </si>
  <si>
    <t>15˚ 42.113'S</t>
  </si>
  <si>
    <t>124˚ 18.730'E</t>
  </si>
  <si>
    <t>15˚ 37.748'S</t>
  </si>
  <si>
    <t>124˚ 22.671'E</t>
  </si>
  <si>
    <t>15˚ 40.502'S</t>
  </si>
  <si>
    <t>124˚ 15.152'E</t>
  </si>
  <si>
    <t>Transit Hall Point to Cape Leveque</t>
  </si>
  <si>
    <t>Partly Cloudy/Fine</t>
  </si>
  <si>
    <t>&gt;1m sea</t>
  </si>
  <si>
    <t>124˚ 12.808'E</t>
  </si>
  <si>
    <t>15˚ 41.101'S</t>
  </si>
  <si>
    <t>124˚ 11.931'E</t>
  </si>
  <si>
    <t>15˚ 41.795'S</t>
  </si>
  <si>
    <t>124˚ 08.398'E</t>
  </si>
  <si>
    <t>2 Irrawaddy Dolphins</t>
  </si>
  <si>
    <t>Dolphins surface travelling.</t>
  </si>
  <si>
    <t>15˚ 43.147'S</t>
  </si>
  <si>
    <t>124˚ 02.700'E</t>
  </si>
  <si>
    <t>South</t>
  </si>
  <si>
    <t>253˚</t>
  </si>
  <si>
    <t>0.5m</t>
  </si>
  <si>
    <t>252˚</t>
  </si>
  <si>
    <t>255˚</t>
  </si>
  <si>
    <t>249˚</t>
  </si>
  <si>
    <t>Transit to Cape Leveque</t>
  </si>
  <si>
    <t>Fine and SW Winds</t>
  </si>
  <si>
    <t>1m</t>
  </si>
  <si>
    <t>2 Dolphins</t>
  </si>
  <si>
    <t>South-West</t>
  </si>
  <si>
    <t>250˚</t>
  </si>
  <si>
    <t>247˚</t>
  </si>
  <si>
    <t>North</t>
  </si>
  <si>
    <t>246˚</t>
  </si>
  <si>
    <t>244˚</t>
  </si>
  <si>
    <t>245˚</t>
  </si>
  <si>
    <t>Starboard in 2 o'clock</t>
  </si>
  <si>
    <t>Bow</t>
  </si>
  <si>
    <t>Bow in 12.00</t>
  </si>
  <si>
    <t>230˚</t>
  </si>
  <si>
    <t>Starboard and Bow</t>
  </si>
  <si>
    <t>Starboard Bow?</t>
  </si>
  <si>
    <t>150˚</t>
  </si>
  <si>
    <t>3 Dolphins</t>
  </si>
  <si>
    <t>Dolphins at entrance to bay.</t>
  </si>
  <si>
    <t>Entered bay, whales at mouth of bay.</t>
  </si>
  <si>
    <t>Cape Leveque South</t>
  </si>
  <si>
    <t>Approaching Beagle Bay</t>
  </si>
  <si>
    <t>0.3m</t>
  </si>
  <si>
    <t>0.75m</t>
  </si>
  <si>
    <t>1.3m</t>
  </si>
  <si>
    <t>1.6m very rough</t>
  </si>
  <si>
    <t>1 turtle</t>
  </si>
  <si>
    <t>215˚</t>
  </si>
  <si>
    <t>209˚</t>
  </si>
  <si>
    <t>271˚</t>
  </si>
  <si>
    <t>169˚</t>
  </si>
  <si>
    <t>174˚</t>
  </si>
  <si>
    <t>270˚</t>
  </si>
  <si>
    <t>159˚</t>
  </si>
  <si>
    <t>194˚</t>
  </si>
  <si>
    <t>4 Dolphins</t>
  </si>
  <si>
    <t>193˚</t>
  </si>
  <si>
    <t>258˚</t>
  </si>
  <si>
    <t>251˚</t>
  </si>
  <si>
    <t>254˚</t>
  </si>
  <si>
    <t>227˚</t>
  </si>
  <si>
    <t>Turtle 1m in front of boat, Port Side.</t>
  </si>
  <si>
    <t>22nd</t>
  </si>
  <si>
    <t>Sea Snake</t>
  </si>
  <si>
    <t>Baby and mother dolphin.</t>
  </si>
  <si>
    <t>Mother escorts baby whale.</t>
  </si>
  <si>
    <t>Stern?</t>
  </si>
  <si>
    <t>Swimming STH?</t>
  </si>
  <si>
    <t>600 &amp; 300</t>
  </si>
  <si>
    <t>Dolphins 100m Port</t>
  </si>
  <si>
    <t>5 infant dolphins present</t>
  </si>
  <si>
    <t>Mother resting with calf</t>
  </si>
  <si>
    <t>Port</t>
  </si>
  <si>
    <t>Bow &amp; Port</t>
  </si>
  <si>
    <t>Stern</t>
  </si>
  <si>
    <t>Coincident with Airborne Sea-Truthing</t>
  </si>
  <si>
    <t>16˚ 10.506'S</t>
  </si>
  <si>
    <t>16˚ 09.857'S</t>
  </si>
  <si>
    <t>16˚ 03.028'S</t>
  </si>
  <si>
    <t>16˚ 00.503'S</t>
  </si>
  <si>
    <t>15˚ 59.532'S</t>
  </si>
  <si>
    <t>15˚ 59.040'S</t>
  </si>
  <si>
    <t>15˚ 58.702'S</t>
  </si>
  <si>
    <t>15˚ 58.343'S</t>
  </si>
  <si>
    <t>15˚ 58.199'S</t>
  </si>
  <si>
    <t>15˚ 58.039'S</t>
  </si>
  <si>
    <t>15˚ 57.959'S</t>
  </si>
  <si>
    <t>15˚ 57.887'S</t>
  </si>
  <si>
    <t>15˚ 57.795'S</t>
  </si>
  <si>
    <t>15˚ 57.818'S</t>
  </si>
  <si>
    <t>16˚ 01.150'S</t>
  </si>
  <si>
    <t>16˚ 01.022'S</t>
  </si>
  <si>
    <t>16˚ 00.930'S</t>
  </si>
  <si>
    <t>16˚ 00.889'S</t>
  </si>
  <si>
    <t>16˚ 01.319'S</t>
  </si>
  <si>
    <t>16˚ 01.865'S</t>
  </si>
  <si>
    <t>16˚ 02.068'S</t>
  </si>
  <si>
    <t>16˚ 02.318'S</t>
  </si>
  <si>
    <t>16˚ 08.601'S</t>
  </si>
  <si>
    <t>16˚ 03.731'S</t>
  </si>
  <si>
    <t>16˚ 04.246'S</t>
  </si>
  <si>
    <t>16˚ 04.458'S</t>
  </si>
  <si>
    <t>16˚ 05.478'S</t>
  </si>
  <si>
    <t>16˚ 05.537'S</t>
  </si>
  <si>
    <t>16˚ 05.659'S</t>
  </si>
  <si>
    <t>16˚ 05.137'S</t>
  </si>
  <si>
    <t>16˚ 05.027'S</t>
  </si>
  <si>
    <t>16˚ 04.930'S</t>
  </si>
  <si>
    <t>16˚ 04.998'S</t>
  </si>
  <si>
    <t>16˚ 04.514'S</t>
  </si>
  <si>
    <t>16˚ 04.567'S</t>
  </si>
  <si>
    <t>16˚ 04.584'S</t>
  </si>
  <si>
    <t>16˚ 04.585'S</t>
  </si>
  <si>
    <t>16˚ 02.205'S</t>
  </si>
  <si>
    <t>16˚ 02.111'S</t>
  </si>
  <si>
    <t>16˚ 02.742'S</t>
  </si>
  <si>
    <t>16˚ 04.404'S</t>
  </si>
  <si>
    <t>16˚ 04.524'S</t>
  </si>
  <si>
    <t>15˚ 55.413'S</t>
  </si>
  <si>
    <t>15˚ 54.748'S</t>
  </si>
  <si>
    <t>15˚ 50.614'S</t>
  </si>
  <si>
    <t>15˚ 41.861'S</t>
  </si>
  <si>
    <t>15˚ 44.634'S</t>
  </si>
  <si>
    <t>15˚ 47.552'S</t>
  </si>
  <si>
    <t>15˚ 50.011'S</t>
  </si>
  <si>
    <t>15˚ 49.991'S</t>
  </si>
  <si>
    <t>15˚ 50.127'S</t>
  </si>
  <si>
    <t>15˚ 49.831'S</t>
  </si>
  <si>
    <t>15˚ 47.910'S</t>
  </si>
  <si>
    <t>15˚ 40.933'S</t>
  </si>
  <si>
    <t>15˚ 45.031'S</t>
  </si>
  <si>
    <t>15˚ 43.440'S</t>
  </si>
  <si>
    <t>15˚ 44.519'S</t>
  </si>
  <si>
    <t>15˚ 44.663'S</t>
  </si>
  <si>
    <t>15˚ 44.960'S</t>
  </si>
  <si>
    <t>15˚ 45.049'S</t>
  </si>
  <si>
    <t>15˚ 45.323'S</t>
  </si>
  <si>
    <t>15˚ 45.684'S</t>
  </si>
  <si>
    <t>15˚ 45.881'S</t>
  </si>
  <si>
    <t>15˚ 46.184'S</t>
  </si>
  <si>
    <t>15˚ 46.442'S</t>
  </si>
  <si>
    <t>15˚ 47.372'S</t>
  </si>
  <si>
    <t>15˚ 48.020'S</t>
  </si>
  <si>
    <t>15˚ 50.052'S</t>
  </si>
  <si>
    <t>15˚ 50.407'S</t>
  </si>
  <si>
    <t>15˚ 50.999'S</t>
  </si>
  <si>
    <t>15˚ 51.101'S</t>
  </si>
  <si>
    <t>15˚ 52.713'S</t>
  </si>
  <si>
    <t>15˚ 53.315'S</t>
  </si>
  <si>
    <t>15˚ 53.483'S</t>
  </si>
  <si>
    <t>15˚ 53.768'S</t>
  </si>
  <si>
    <t>15˚ 54.405'S</t>
  </si>
  <si>
    <t>15˚ 54.891'S</t>
  </si>
  <si>
    <t>15˚ 55.193'S</t>
  </si>
  <si>
    <t>15˚ 55.718'S</t>
  </si>
  <si>
    <t>15˚ 56.532'S</t>
  </si>
  <si>
    <t>15˚ 57.365'S</t>
  </si>
  <si>
    <t>15˚ 58.109'S</t>
  </si>
  <si>
    <t>15˚ 58.341'S</t>
  </si>
  <si>
    <t>15˚ 58.701'S</t>
  </si>
  <si>
    <t>16˚ 00.886'S</t>
  </si>
  <si>
    <t>16˚ 08.839'S</t>
  </si>
  <si>
    <t>16˚ 07.180'S</t>
  </si>
  <si>
    <t>16˚ 11.447'S</t>
  </si>
  <si>
    <t>16˚ 23.368'S</t>
  </si>
  <si>
    <t>16˚ 13.898'S</t>
  </si>
  <si>
    <t>16˚ 14.799'S</t>
  </si>
  <si>
    <t>16˚ 22.373'S</t>
  </si>
  <si>
    <t>16˚ 23.261'S</t>
  </si>
  <si>
    <t>16˚ 23.271'S</t>
  </si>
  <si>
    <t>16˚ 25.590'S</t>
  </si>
  <si>
    <t>16˚ 28.872'S</t>
  </si>
  <si>
    <t>16˚ 30.974'S</t>
  </si>
  <si>
    <t>16˚ 31.083'S</t>
  </si>
  <si>
    <t>16˚ 31.449'S</t>
  </si>
  <si>
    <t>16˚ 32.262'S</t>
  </si>
  <si>
    <t>16˚ 32.800'S</t>
  </si>
  <si>
    <t>16˚ 33.043'S</t>
  </si>
  <si>
    <t>16˚ 33.056'S</t>
  </si>
  <si>
    <t>16˚ 33.223'S</t>
  </si>
  <si>
    <t>16˚ 33.373'S</t>
  </si>
  <si>
    <t>16˚ 34.192'S</t>
  </si>
  <si>
    <t>16˚ 34.624'S</t>
  </si>
  <si>
    <t>16˚ 35.606'S</t>
  </si>
  <si>
    <t>16˚ 35.881'S</t>
  </si>
  <si>
    <t>16˚ 35.868'S</t>
  </si>
  <si>
    <t>16˚ 35.639'S</t>
  </si>
  <si>
    <t>16˚ 35.901'S</t>
  </si>
  <si>
    <t>16˚ 36.440'S</t>
  </si>
  <si>
    <t>16˚ 36.909'S</t>
  </si>
  <si>
    <t>16˚ 37.323'S</t>
  </si>
  <si>
    <t>16˚ 38.123'S</t>
  </si>
  <si>
    <t>16˚ 38.208'S</t>
  </si>
  <si>
    <t>16˚ 38.278'S</t>
  </si>
  <si>
    <r>
      <t>16</t>
    </r>
    <r>
      <rPr>
        <b/>
        <sz val="11"/>
        <color theme="1"/>
        <rFont val="Calibri"/>
        <family val="2"/>
        <scheme val="minor"/>
      </rPr>
      <t>˚</t>
    </r>
    <r>
      <rPr>
        <sz val="11"/>
        <color theme="1"/>
        <rFont val="Calibri"/>
        <family val="2"/>
        <scheme val="minor"/>
      </rPr>
      <t xml:space="preserve"> 38.340'S</t>
    </r>
  </si>
  <si>
    <t>16˚ 38.407'S</t>
  </si>
  <si>
    <t>16˚ 38.492'S</t>
  </si>
  <si>
    <t>16˚ 38.487'S</t>
  </si>
  <si>
    <t>16˚ 38.649'S</t>
  </si>
  <si>
    <t>16˚ 38.788'S</t>
  </si>
  <si>
    <t>16˚ 39.388'S</t>
  </si>
  <si>
    <t>16˚ 39.882'S</t>
  </si>
  <si>
    <t>16˚ 40.164'S</t>
  </si>
  <si>
    <t>16˚ 40.588'S</t>
  </si>
  <si>
    <t>16˚ 40.619'S</t>
  </si>
  <si>
    <t>16˚ 40.702'S</t>
  </si>
  <si>
    <t>16˚ 43.015'S</t>
  </si>
  <si>
    <t>16˚ 43.236'S</t>
  </si>
  <si>
    <t>16˚ 45.404'S</t>
  </si>
  <si>
    <t>17˚ 41.722'S</t>
  </si>
  <si>
    <t>17˚ 41.830'S</t>
  </si>
  <si>
    <t>17˚ 42.967'S</t>
  </si>
  <si>
    <t>17˚ 43.311'S</t>
  </si>
  <si>
    <t>17˚ 52.139'S</t>
  </si>
  <si>
    <t>123˚ 02.670'E</t>
  </si>
  <si>
    <t>123˚ 03.540'E</t>
  </si>
  <si>
    <t>123˚ 11.718'E</t>
  </si>
  <si>
    <t>123˚ 14.997'E</t>
  </si>
  <si>
    <t>123˚ 16.294'E</t>
  </si>
  <si>
    <t>123˚ 20.155'E</t>
  </si>
  <si>
    <t>123˚ 24.969'E</t>
  </si>
  <si>
    <t>123˚ 28.310'E</t>
  </si>
  <si>
    <t>123˚ 28.997'E</t>
  </si>
  <si>
    <t>123˚ 29.959'E</t>
  </si>
  <si>
    <t>123˚ 30.618'E</t>
  </si>
  <si>
    <t>123˚ 31.746'E</t>
  </si>
  <si>
    <t>123˚ 32.200'E</t>
  </si>
  <si>
    <t>123˚ 37.013'E</t>
  </si>
  <si>
    <t>123˚ 43.545'E</t>
  </si>
  <si>
    <t>123˚ 48.313'E</t>
  </si>
  <si>
    <t>123˚ 48.163'E</t>
  </si>
  <si>
    <t>123˚ 50.287'E</t>
  </si>
  <si>
    <t>123˚ 55.600'E</t>
  </si>
  <si>
    <t>124˚ 01.078'E</t>
  </si>
  <si>
    <t>124˚ 02.907'E</t>
  </si>
  <si>
    <t>124˚ 03.958'E</t>
  </si>
  <si>
    <t>124˚ 08.426'E</t>
  </si>
  <si>
    <t>124˚ 09.255'E</t>
  </si>
  <si>
    <t>124˚ 11.632'E</t>
  </si>
  <si>
    <t>124˚ 12.764'E</t>
  </si>
  <si>
    <t>124˚ 18.216'E</t>
  </si>
  <si>
    <t>124˚ 18.532'E</t>
  </si>
  <si>
    <t>124˚ 19.346'E</t>
  </si>
  <si>
    <t>124˚ 22.247'E</t>
  </si>
  <si>
    <t>124˚ 22.904'E</t>
  </si>
  <si>
    <t>124˚ 23.398'E</t>
  </si>
  <si>
    <t>124˚ 23.399'E</t>
  </si>
  <si>
    <t>124˚ 17.719'E</t>
  </si>
  <si>
    <t>124˚ 16.260'E</t>
  </si>
  <si>
    <t>124˚ 15.018'E</t>
  </si>
  <si>
    <t>124˚ 14.972'E</t>
  </si>
  <si>
    <t>124˚ 14.129'E</t>
  </si>
  <si>
    <t>124˚ 14.496'E</t>
  </si>
  <si>
    <t>124˚ 15.097'E</t>
  </si>
  <si>
    <t>124˚ 16.701'E</t>
  </si>
  <si>
    <t>124˚ 17.586'E</t>
  </si>
  <si>
    <t>124˚ 22.670'E</t>
  </si>
  <si>
    <t>124˚ 22.650'E</t>
  </si>
  <si>
    <t>124˚ 22.492'E</t>
  </si>
  <si>
    <t>124˚ 20.032'E</t>
  </si>
  <si>
    <t>124˚ 17.557'E</t>
  </si>
  <si>
    <t>124˚ 14.871'E</t>
  </si>
  <si>
    <t>124˚ 11.427'E</t>
  </si>
  <si>
    <t>124˚ 07.713'E</t>
  </si>
  <si>
    <t>124˚ 04.242'E</t>
  </si>
  <si>
    <t>124˚ 08.104'E</t>
  </si>
  <si>
    <t>124˚ 09.111'E</t>
  </si>
  <si>
    <t>124˚ 18.126'E</t>
  </si>
  <si>
    <t>124˚ 03.102'E</t>
  </si>
  <si>
    <t>124˚ 01.701'E</t>
  </si>
  <si>
    <t>123˚ 58.036'E</t>
  </si>
  <si>
    <t>123˚ 57.557'E</t>
  </si>
  <si>
    <t>123˚ 56.446'E</t>
  </si>
  <si>
    <t>123˚ 58.198'E</t>
  </si>
  <si>
    <t>123˚ 55.316'E</t>
  </si>
  <si>
    <t>123˚ 54.160'E</t>
  </si>
  <si>
    <t>123˚ 53.080'E</t>
  </si>
  <si>
    <t>123˚ 52.351'E</t>
  </si>
  <si>
    <t>123˚ 51.515'E</t>
  </si>
  <si>
    <t>123˚ 47.853'E</t>
  </si>
  <si>
    <t>123˚ 45.757'E</t>
  </si>
  <si>
    <t>123˚ 23.207'E</t>
  </si>
  <si>
    <t>123˚ 36.548'E</t>
  </si>
  <si>
    <t>123˚ 36.321'E</t>
  </si>
  <si>
    <t>123˚ 32.486'E</t>
  </si>
  <si>
    <t>123˚ 31.039'E</t>
  </si>
  <si>
    <t>123˚ 30.672'E</t>
  </si>
  <si>
    <t>123˚ 29.998'E</t>
  </si>
  <si>
    <t>123˚ 29.488'E</t>
  </si>
  <si>
    <t>123˚ 27.420'E</t>
  </si>
  <si>
    <t>123˚ 28.786'E</t>
  </si>
  <si>
    <t>123˚ 25.485'E</t>
  </si>
  <si>
    <t>123˚ 23.502'E</t>
  </si>
  <si>
    <t>123˚ 21.602'E</t>
  </si>
  <si>
    <t>123˚ 19.671'E</t>
  </si>
  <si>
    <t>123˚ 10.070'E</t>
  </si>
  <si>
    <t>123˚ 19.181'E</t>
  </si>
  <si>
    <t>123˚ 14.531'E</t>
  </si>
  <si>
    <t>123˚ 07.533'E</t>
  </si>
  <si>
    <t>123˚ 07.138'E</t>
  </si>
  <si>
    <t>123˚ 02.282'E</t>
  </si>
  <si>
    <t>122˚ 56.929'E</t>
  </si>
  <si>
    <t>122˚ 59.367'E</t>
  </si>
  <si>
    <t>122˚ 58.252'E</t>
  </si>
  <si>
    <t>122˚ 56.565'E</t>
  </si>
  <si>
    <t>122˚ 56.941'E</t>
  </si>
  <si>
    <t>122˚ 52.589'E</t>
  </si>
  <si>
    <t>122˚ 50.549'E</t>
  </si>
  <si>
    <t>122˚ 47.034'E</t>
  </si>
  <si>
    <t>122˚ 46.111'E</t>
  </si>
  <si>
    <t>122˚ 45.832'E</t>
  </si>
  <si>
    <t>122˚ 46.040'E</t>
  </si>
  <si>
    <t>122˚ 46.151'E</t>
  </si>
  <si>
    <t>122˚ 43.389'E</t>
  </si>
  <si>
    <t>122˚ 45.235'E</t>
  </si>
  <si>
    <t>122˚ 23.540'E</t>
  </si>
  <si>
    <t>122˚ 43.434'E</t>
  </si>
  <si>
    <t>122˚ 43.322'E</t>
  </si>
  <si>
    <t>122˚ 43.432'E</t>
  </si>
  <si>
    <t>122˚ 43.491'E</t>
  </si>
  <si>
    <t>122˚ 43.597'E</t>
  </si>
  <si>
    <t>122˚ 43.160'E</t>
  </si>
  <si>
    <t>122˚ 42.298'E</t>
  </si>
  <si>
    <t>122˚ 41.250'E</t>
  </si>
  <si>
    <t>122˚ 41.207'E</t>
  </si>
  <si>
    <t>122˚ 41.180'E</t>
  </si>
  <si>
    <t>122˚ 41.030'E</t>
  </si>
  <si>
    <t>122˚ 40.888'E</t>
  </si>
  <si>
    <t>122˚ 40.599'E</t>
  </si>
  <si>
    <t>122˚ 39.515'E</t>
  </si>
  <si>
    <t>122˚ 39.107'E</t>
  </si>
  <si>
    <t>122˚ 38.888'E</t>
  </si>
  <si>
    <t>122˚ 38.658'E</t>
  </si>
  <si>
    <t>122˚ 33.436'E</t>
  </si>
  <si>
    <t>122˚ 38.302'E</t>
  </si>
  <si>
    <t>122˚ 38.097'E</t>
  </si>
  <si>
    <t>122˚ 38.295'E</t>
  </si>
  <si>
    <t>122˚ 38.275'E</t>
  </si>
  <si>
    <t>122˚ 38.184'E</t>
  </si>
  <si>
    <t>122˚ 38.131'E</t>
  </si>
  <si>
    <t>122˚ 38.086'E</t>
  </si>
  <si>
    <t>122˚ 37.734'E</t>
  </si>
  <si>
    <t>122˚ 37.035'E</t>
  </si>
  <si>
    <t>122˚ 38.872'E</t>
  </si>
  <si>
    <t>122˚ 36.287'E</t>
  </si>
  <si>
    <t>122˚ 35.389'E</t>
  </si>
  <si>
    <t>122˚ 33.985'E</t>
  </si>
  <si>
    <t>122˚ 08.439'E</t>
  </si>
  <si>
    <t>122˚ 08.377'E</t>
  </si>
  <si>
    <t>122˚ 08.736'E</t>
  </si>
  <si>
    <t>122˚ 08.840'E</t>
  </si>
  <si>
    <t>122˚ 09.033'E</t>
  </si>
  <si>
    <t>Montgomery Reef</t>
  </si>
  <si>
    <t>Montgomery Reef/Camden Sound</t>
  </si>
  <si>
    <t>Feeding on Montgomery reef</t>
  </si>
  <si>
    <t>=</t>
  </si>
  <si>
    <t>15˚ 59.138'S</t>
  </si>
  <si>
    <t>124˚ 19.475'E</t>
  </si>
  <si>
    <t>122˚ 32.550'E</t>
  </si>
  <si>
    <t>16˚ 46.912'S</t>
  </si>
  <si>
    <t>123˚ 22.345'E</t>
  </si>
  <si>
    <r>
      <t xml:space="preserve">Water Depth (m) </t>
    </r>
    <r>
      <rPr>
        <i/>
        <sz val="11"/>
        <color theme="1"/>
        <rFont val="Calibri"/>
        <family val="2"/>
        <scheme val="minor"/>
      </rPr>
      <t>Estimated by Bonzle</t>
    </r>
  </si>
  <si>
    <t>123˚ 37.333'E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</si>
</sst>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 vertical="center" wrapText="1"/>
    </xf>
    <xf numFmtId="0" fontId="0" fillId="0" borderId="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161"/>
  <sheetViews>
    <sheetView tabSelected="1" topLeftCell="H1" workbookViewId="0">
      <selection activeCell="L1" activeCellId="2" sqref="A1:A1048576 I1:I1048576 L1:Q1048576"/>
    </sheetView>
  </sheetViews>
  <sheetFormatPr defaultRowHeight="15"/>
  <cols>
    <col min="1" max="1" width="10.28515625" style="1" customWidth="1"/>
    <col min="2" max="2" width="10.7109375" style="16" bestFit="1" customWidth="1"/>
    <col min="3" max="3" width="10.85546875" style="13" bestFit="1" customWidth="1"/>
    <col min="4" max="4" width="9.140625" style="14"/>
    <col min="5" max="5" width="9.140625" style="21"/>
    <col min="6" max="6" width="13.7109375" style="15" bestFit="1" customWidth="1"/>
    <col min="7" max="7" width="11.140625" style="16" bestFit="1" customWidth="1"/>
    <col min="8" max="8" width="12.140625" style="14" bestFit="1" customWidth="1"/>
    <col min="9" max="10" width="12.140625" style="13" customWidth="1"/>
    <col min="11" max="11" width="21.140625" style="13" bestFit="1" customWidth="1"/>
    <col min="12" max="12" width="16.5703125" style="16" bestFit="1" customWidth="1"/>
    <col min="13" max="13" width="11.42578125" style="13" customWidth="1"/>
    <col min="14" max="14" width="9.140625" style="13"/>
    <col min="15" max="15" width="11.42578125" style="13" customWidth="1"/>
    <col min="16" max="16" width="9.140625" style="13"/>
    <col min="17" max="17" width="11.42578125" style="13" customWidth="1"/>
    <col min="18" max="18" width="2.140625" style="18" bestFit="1" customWidth="1"/>
    <col min="19" max="19" width="2.7109375" style="18" bestFit="1" customWidth="1"/>
    <col min="20" max="20" width="2.85546875" style="18" bestFit="1" customWidth="1"/>
    <col min="21" max="21" width="3.140625" style="18" bestFit="1" customWidth="1"/>
    <col min="22" max="22" width="2" style="18" bestFit="1" customWidth="1"/>
    <col min="23" max="23" width="3" style="18" bestFit="1" customWidth="1"/>
    <col min="24" max="24" width="3.140625" style="18" bestFit="1" customWidth="1"/>
    <col min="25" max="25" width="3.28515625" style="18" bestFit="1" customWidth="1"/>
    <col min="26" max="26" width="3.42578125" style="18" bestFit="1" customWidth="1"/>
    <col min="27" max="27" width="3.28515625" style="18" bestFit="1" customWidth="1"/>
    <col min="28" max="28" width="3.28515625" style="18" customWidth="1"/>
    <col min="29" max="29" width="6.140625" style="18" bestFit="1" customWidth="1"/>
    <col min="30" max="30" width="5.42578125" style="20" bestFit="1" customWidth="1"/>
    <col min="31" max="31" width="14.42578125" style="13" customWidth="1"/>
    <col min="32" max="32" width="14" style="13" bestFit="1" customWidth="1"/>
    <col min="33" max="33" width="9.5703125" style="14" customWidth="1"/>
    <col min="34" max="34" width="31.85546875" style="16" bestFit="1" customWidth="1"/>
    <col min="35" max="36" width="9.140625" style="13"/>
    <col min="37" max="37" width="17.7109375" style="13" bestFit="1" customWidth="1"/>
    <col min="38" max="38" width="15.28515625" style="14" bestFit="1" customWidth="1"/>
    <col min="39" max="39" width="44.42578125" style="15" customWidth="1"/>
    <col min="40" max="16384" width="9.140625" style="1"/>
  </cols>
  <sheetData>
    <row r="1" spans="1:41">
      <c r="B1" s="27" t="s">
        <v>0</v>
      </c>
      <c r="C1" s="28"/>
      <c r="D1" s="29"/>
      <c r="E1" s="22" t="s">
        <v>1</v>
      </c>
      <c r="F1" s="3" t="s">
        <v>2</v>
      </c>
      <c r="G1" s="8"/>
      <c r="H1" s="9"/>
      <c r="I1" s="10"/>
      <c r="J1" s="10"/>
      <c r="K1" s="10"/>
      <c r="L1" s="8"/>
      <c r="M1" s="10"/>
      <c r="N1" s="10"/>
      <c r="O1" s="10"/>
      <c r="P1" s="10"/>
      <c r="Q1" s="10"/>
      <c r="R1" s="30" t="s">
        <v>31</v>
      </c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10"/>
      <c r="AF1" s="10"/>
      <c r="AG1" s="9"/>
      <c r="AH1" s="8"/>
      <c r="AI1" s="10"/>
      <c r="AJ1" s="10"/>
      <c r="AK1" s="10"/>
      <c r="AL1" s="9"/>
      <c r="AM1" s="11"/>
    </row>
    <row r="2" spans="1:41" s="2" customFormat="1" ht="60">
      <c r="A2" s="2" t="s">
        <v>22</v>
      </c>
      <c r="B2" s="4" t="s">
        <v>3</v>
      </c>
      <c r="C2" s="5" t="s">
        <v>4</v>
      </c>
      <c r="D2" s="6" t="s">
        <v>5</v>
      </c>
      <c r="E2" s="23" t="s">
        <v>6</v>
      </c>
      <c r="F2" s="7" t="s">
        <v>7</v>
      </c>
      <c r="G2" s="4" t="s">
        <v>8</v>
      </c>
      <c r="H2" s="6" t="s">
        <v>9</v>
      </c>
      <c r="I2" s="5" t="s">
        <v>486</v>
      </c>
      <c r="J2" s="5" t="s">
        <v>27</v>
      </c>
      <c r="K2" s="5" t="s">
        <v>28</v>
      </c>
      <c r="L2" s="4" t="s">
        <v>10</v>
      </c>
      <c r="M2" s="5" t="s">
        <v>11</v>
      </c>
      <c r="N2" s="5" t="s">
        <v>12</v>
      </c>
      <c r="O2" s="5" t="s">
        <v>11</v>
      </c>
      <c r="P2" s="5" t="s">
        <v>13</v>
      </c>
      <c r="Q2" s="5" t="s">
        <v>11</v>
      </c>
      <c r="R2" s="17" t="s">
        <v>32</v>
      </c>
      <c r="S2" s="17" t="s">
        <v>33</v>
      </c>
      <c r="T2" s="17" t="s">
        <v>34</v>
      </c>
      <c r="U2" s="17" t="s">
        <v>35</v>
      </c>
      <c r="V2" s="17" t="s">
        <v>36</v>
      </c>
      <c r="W2" s="17" t="s">
        <v>37</v>
      </c>
      <c r="X2" s="17" t="s">
        <v>38</v>
      </c>
      <c r="Y2" s="17" t="s">
        <v>39</v>
      </c>
      <c r="Z2" s="17" t="s">
        <v>40</v>
      </c>
      <c r="AA2" s="17" t="s">
        <v>41</v>
      </c>
      <c r="AB2" s="17" t="s">
        <v>30</v>
      </c>
      <c r="AC2" s="17" t="s">
        <v>42</v>
      </c>
      <c r="AD2" s="19" t="s">
        <v>43</v>
      </c>
      <c r="AE2" s="5" t="s">
        <v>14</v>
      </c>
      <c r="AF2" s="5" t="s">
        <v>15</v>
      </c>
      <c r="AG2" s="6" t="s">
        <v>16</v>
      </c>
      <c r="AH2" s="4" t="s">
        <v>17</v>
      </c>
      <c r="AI2" s="5" t="s">
        <v>18</v>
      </c>
      <c r="AJ2" s="5" t="s">
        <v>51</v>
      </c>
      <c r="AK2" s="5" t="s">
        <v>19</v>
      </c>
      <c r="AL2" s="6" t="s">
        <v>20</v>
      </c>
      <c r="AM2" s="7" t="s">
        <v>21</v>
      </c>
    </row>
    <row r="3" spans="1:41">
      <c r="A3" s="1">
        <v>1</v>
      </c>
      <c r="B3" s="12" t="s">
        <v>23</v>
      </c>
      <c r="C3" s="13" t="s">
        <v>24</v>
      </c>
      <c r="D3" s="14">
        <v>2008</v>
      </c>
      <c r="E3" s="21">
        <v>6.3</v>
      </c>
      <c r="F3" s="15">
        <v>2</v>
      </c>
      <c r="G3" s="16" t="s">
        <v>26</v>
      </c>
      <c r="H3" s="14" t="s">
        <v>25</v>
      </c>
      <c r="I3" s="13">
        <v>45</v>
      </c>
      <c r="J3" s="13" t="s">
        <v>29</v>
      </c>
      <c r="L3" s="16">
        <v>1</v>
      </c>
      <c r="M3" s="13">
        <f>L3/F3</f>
        <v>0.5</v>
      </c>
      <c r="N3" s="13">
        <v>0</v>
      </c>
      <c r="O3" s="13">
        <f>N3/F3</f>
        <v>0</v>
      </c>
      <c r="P3" s="13">
        <f>N3+L3</f>
        <v>1</v>
      </c>
      <c r="Q3" s="13">
        <f>P3/F3</f>
        <v>0.5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1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20">
        <f t="shared" ref="AD3:AD13" si="0">R3+S3+T3+U3+V3+W3+X3+Y3+Z3+AA3+AC3+AB3</f>
        <v>1</v>
      </c>
      <c r="AG3" s="14" t="s">
        <v>30</v>
      </c>
      <c r="AH3" s="16" t="s">
        <v>44</v>
      </c>
      <c r="AI3" s="13">
        <v>9</v>
      </c>
      <c r="AJ3" s="13" t="s">
        <v>52</v>
      </c>
      <c r="AK3" s="13" t="s">
        <v>45</v>
      </c>
      <c r="AL3" s="14" t="s">
        <v>46</v>
      </c>
      <c r="AM3" s="15" t="s">
        <v>49</v>
      </c>
    </row>
    <row r="4" spans="1:41">
      <c r="A4" s="1">
        <v>2</v>
      </c>
      <c r="B4" s="16" t="s">
        <v>23</v>
      </c>
      <c r="C4" s="13" t="s">
        <v>24</v>
      </c>
      <c r="D4" s="14">
        <v>2008</v>
      </c>
      <c r="E4" s="21">
        <v>6.49</v>
      </c>
      <c r="F4" s="15">
        <v>2</v>
      </c>
      <c r="G4" s="16" t="s">
        <v>47</v>
      </c>
      <c r="H4" s="14" t="s">
        <v>48</v>
      </c>
      <c r="I4" s="13">
        <v>48</v>
      </c>
      <c r="J4" s="13" t="s">
        <v>29</v>
      </c>
      <c r="L4" s="16">
        <v>4</v>
      </c>
      <c r="M4" s="13">
        <f t="shared" ref="M4:M161" si="1">L4/F4</f>
        <v>2</v>
      </c>
      <c r="N4" s="13">
        <v>0</v>
      </c>
      <c r="O4" s="13">
        <f t="shared" ref="O4:O161" si="2">N4/F4</f>
        <v>0</v>
      </c>
      <c r="P4" s="13">
        <f t="shared" ref="P4:P157" si="3">N4+L4</f>
        <v>4</v>
      </c>
      <c r="Q4" s="13">
        <f t="shared" ref="Q4:Q161" si="4">P4/F4</f>
        <v>2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4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20">
        <f t="shared" si="0"/>
        <v>4</v>
      </c>
      <c r="AG4" s="14" t="s">
        <v>30</v>
      </c>
      <c r="AH4" s="16" t="s">
        <v>44</v>
      </c>
      <c r="AI4" s="13">
        <v>9.1999999999999993</v>
      </c>
      <c r="AJ4" s="13" t="s">
        <v>52</v>
      </c>
      <c r="AK4" s="13" t="s">
        <v>45</v>
      </c>
      <c r="AL4" s="14" t="s">
        <v>46</v>
      </c>
      <c r="AM4" s="15" t="s">
        <v>50</v>
      </c>
      <c r="AO4" s="1" t="s">
        <v>480</v>
      </c>
    </row>
    <row r="5" spans="1:41">
      <c r="A5" s="1">
        <v>3</v>
      </c>
      <c r="B5" s="12" t="s">
        <v>23</v>
      </c>
      <c r="C5" s="13" t="s">
        <v>24</v>
      </c>
      <c r="D5" s="14">
        <v>2008</v>
      </c>
      <c r="E5" s="21">
        <v>7.1</v>
      </c>
      <c r="F5" s="15">
        <v>2</v>
      </c>
      <c r="G5" s="16" t="s">
        <v>201</v>
      </c>
      <c r="H5" s="14" t="s">
        <v>339</v>
      </c>
      <c r="I5" s="13">
        <v>41</v>
      </c>
      <c r="J5" s="13" t="s">
        <v>29</v>
      </c>
      <c r="L5" s="16">
        <v>1</v>
      </c>
      <c r="M5" s="13">
        <f t="shared" si="1"/>
        <v>0.5</v>
      </c>
      <c r="N5" s="13">
        <v>1</v>
      </c>
      <c r="O5" s="13">
        <f t="shared" si="2"/>
        <v>0.5</v>
      </c>
      <c r="P5" s="13">
        <f t="shared" si="3"/>
        <v>2</v>
      </c>
      <c r="Q5" s="13">
        <f t="shared" si="4"/>
        <v>1</v>
      </c>
      <c r="R5" s="18">
        <v>1</v>
      </c>
      <c r="S5" s="18">
        <v>1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20">
        <f t="shared" si="0"/>
        <v>2</v>
      </c>
      <c r="AE5" s="13" t="s">
        <v>156</v>
      </c>
      <c r="AH5" s="16" t="s">
        <v>44</v>
      </c>
      <c r="AI5" s="13">
        <v>9.3000000000000007</v>
      </c>
      <c r="AJ5" s="13" t="s">
        <v>52</v>
      </c>
      <c r="AK5" s="13" t="s">
        <v>45</v>
      </c>
      <c r="AL5" s="14" t="s">
        <v>46</v>
      </c>
    </row>
    <row r="6" spans="1:41">
      <c r="A6" s="1">
        <v>4</v>
      </c>
      <c r="B6" s="16" t="s">
        <v>23</v>
      </c>
      <c r="C6" s="13" t="s">
        <v>24</v>
      </c>
      <c r="D6" s="14">
        <v>2008</v>
      </c>
      <c r="E6" s="21">
        <v>7.17</v>
      </c>
      <c r="F6" s="15">
        <v>2</v>
      </c>
      <c r="G6" s="16" t="s">
        <v>202</v>
      </c>
      <c r="H6" s="14" t="s">
        <v>340</v>
      </c>
      <c r="I6" s="13">
        <v>34</v>
      </c>
      <c r="J6" s="13" t="s">
        <v>29</v>
      </c>
      <c r="L6" s="16">
        <v>3</v>
      </c>
      <c r="M6" s="13">
        <f t="shared" si="1"/>
        <v>1.5</v>
      </c>
      <c r="N6" s="13">
        <v>0</v>
      </c>
      <c r="O6" s="13">
        <f t="shared" si="2"/>
        <v>0</v>
      </c>
      <c r="P6" s="13">
        <f t="shared" si="3"/>
        <v>3</v>
      </c>
      <c r="Q6" s="13">
        <f t="shared" si="4"/>
        <v>1.5</v>
      </c>
      <c r="R6" s="18">
        <v>0</v>
      </c>
      <c r="S6" s="18">
        <v>2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20">
        <f t="shared" si="0"/>
        <v>2</v>
      </c>
      <c r="AE6" s="13" t="s">
        <v>156</v>
      </c>
      <c r="AF6" s="13">
        <v>800</v>
      </c>
      <c r="AH6" s="16" t="s">
        <v>44</v>
      </c>
      <c r="AI6" s="13">
        <v>9.5</v>
      </c>
      <c r="AJ6" s="13" t="s">
        <v>53</v>
      </c>
      <c r="AK6" s="13" t="s">
        <v>45</v>
      </c>
      <c r="AL6" s="14" t="s">
        <v>46</v>
      </c>
    </row>
    <row r="7" spans="1:41">
      <c r="A7" s="1">
        <v>5</v>
      </c>
      <c r="B7" s="12" t="s">
        <v>23</v>
      </c>
      <c r="C7" s="13" t="s">
        <v>24</v>
      </c>
      <c r="D7" s="14">
        <v>2008</v>
      </c>
      <c r="E7" s="21">
        <v>8.1</v>
      </c>
      <c r="F7" s="15">
        <v>2</v>
      </c>
      <c r="G7" s="16" t="s">
        <v>203</v>
      </c>
      <c r="H7" s="14" t="s">
        <v>341</v>
      </c>
      <c r="I7" s="13">
        <v>55</v>
      </c>
      <c r="K7" s="13" t="s">
        <v>54</v>
      </c>
      <c r="L7" s="16">
        <v>0</v>
      </c>
      <c r="M7" s="13">
        <f t="shared" si="1"/>
        <v>0</v>
      </c>
      <c r="N7" s="13">
        <v>0</v>
      </c>
      <c r="O7" s="13">
        <f t="shared" si="2"/>
        <v>0</v>
      </c>
      <c r="P7" s="13">
        <f t="shared" si="3"/>
        <v>0</v>
      </c>
      <c r="Q7" s="13">
        <f>P7/F7</f>
        <v>0</v>
      </c>
      <c r="AD7" s="20">
        <f t="shared" si="0"/>
        <v>0</v>
      </c>
      <c r="AH7" s="16" t="s">
        <v>44</v>
      </c>
      <c r="AI7" s="13">
        <v>11.9</v>
      </c>
      <c r="AK7" s="13" t="s">
        <v>45</v>
      </c>
      <c r="AL7" s="14" t="s">
        <v>46</v>
      </c>
      <c r="AM7" s="15" t="s">
        <v>194</v>
      </c>
    </row>
    <row r="8" spans="1:41">
      <c r="A8" s="1">
        <v>6</v>
      </c>
      <c r="B8" s="16" t="s">
        <v>23</v>
      </c>
      <c r="C8" s="13" t="s">
        <v>24</v>
      </c>
      <c r="D8" s="14">
        <v>2008</v>
      </c>
      <c r="E8" s="21">
        <v>8.24</v>
      </c>
      <c r="F8" s="15">
        <v>2</v>
      </c>
      <c r="G8" s="16" t="s">
        <v>55</v>
      </c>
      <c r="H8" s="14" t="s">
        <v>56</v>
      </c>
      <c r="I8" s="13">
        <v>62</v>
      </c>
      <c r="J8" s="13" t="s">
        <v>29</v>
      </c>
      <c r="L8" s="16">
        <v>1</v>
      </c>
      <c r="M8" s="13">
        <f t="shared" si="1"/>
        <v>0.5</v>
      </c>
      <c r="N8" s="13">
        <v>0</v>
      </c>
      <c r="O8" s="13">
        <f t="shared" si="2"/>
        <v>0</v>
      </c>
      <c r="P8" s="13">
        <f t="shared" si="3"/>
        <v>1</v>
      </c>
      <c r="Q8" s="13">
        <f t="shared" si="4"/>
        <v>0.5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1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20">
        <f t="shared" si="0"/>
        <v>1</v>
      </c>
      <c r="AE8" s="13" t="s">
        <v>197</v>
      </c>
      <c r="AF8" s="13">
        <v>200</v>
      </c>
      <c r="AH8" s="16" t="s">
        <v>44</v>
      </c>
      <c r="AK8" s="13" t="s">
        <v>45</v>
      </c>
      <c r="AL8" s="14" t="s">
        <v>46</v>
      </c>
    </row>
    <row r="9" spans="1:41">
      <c r="A9" s="1">
        <v>7</v>
      </c>
      <c r="B9" s="12" t="s">
        <v>23</v>
      </c>
      <c r="C9" s="13" t="s">
        <v>24</v>
      </c>
      <c r="D9" s="14">
        <v>2008</v>
      </c>
      <c r="E9" s="21">
        <v>8.32</v>
      </c>
      <c r="F9" s="15">
        <v>2</v>
      </c>
      <c r="G9" s="16" t="s">
        <v>204</v>
      </c>
      <c r="H9" s="14" t="s">
        <v>342</v>
      </c>
      <c r="I9" s="13">
        <v>63</v>
      </c>
      <c r="J9" s="13" t="s">
        <v>29</v>
      </c>
      <c r="L9" s="16">
        <v>1</v>
      </c>
      <c r="M9" s="13">
        <f t="shared" si="1"/>
        <v>0.5</v>
      </c>
      <c r="N9" s="13">
        <v>1</v>
      </c>
      <c r="O9" s="13">
        <f t="shared" si="2"/>
        <v>0.5</v>
      </c>
      <c r="P9" s="13">
        <f t="shared" si="3"/>
        <v>2</v>
      </c>
      <c r="Q9" s="13">
        <f t="shared" si="4"/>
        <v>1</v>
      </c>
      <c r="AD9" s="20">
        <f t="shared" si="0"/>
        <v>0</v>
      </c>
      <c r="AE9" s="13" t="s">
        <v>57</v>
      </c>
      <c r="AF9" s="13">
        <v>300</v>
      </c>
      <c r="AH9" s="16" t="s">
        <v>44</v>
      </c>
      <c r="AK9" s="13" t="s">
        <v>45</v>
      </c>
      <c r="AL9" s="14" t="s">
        <v>46</v>
      </c>
    </row>
    <row r="10" spans="1:41">
      <c r="A10" s="1">
        <v>8</v>
      </c>
      <c r="B10" s="16" t="s">
        <v>23</v>
      </c>
      <c r="C10" s="13" t="s">
        <v>24</v>
      </c>
      <c r="D10" s="14">
        <v>2008</v>
      </c>
      <c r="E10" s="21">
        <v>8.42</v>
      </c>
      <c r="F10" s="15">
        <v>2</v>
      </c>
      <c r="G10" s="16" t="s">
        <v>205</v>
      </c>
      <c r="H10" s="14" t="s">
        <v>343</v>
      </c>
      <c r="I10" s="13">
        <v>63</v>
      </c>
      <c r="K10" s="13" t="s">
        <v>58</v>
      </c>
      <c r="L10" s="16">
        <v>0</v>
      </c>
      <c r="M10" s="13">
        <f t="shared" si="1"/>
        <v>0</v>
      </c>
      <c r="N10" s="13">
        <v>0</v>
      </c>
      <c r="O10" s="13">
        <f t="shared" si="2"/>
        <v>0</v>
      </c>
      <c r="P10" s="13">
        <f t="shared" si="3"/>
        <v>0</v>
      </c>
      <c r="Q10" s="13">
        <f t="shared" si="4"/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20">
        <f t="shared" si="0"/>
        <v>0</v>
      </c>
      <c r="AH10" s="16" t="s">
        <v>44</v>
      </c>
      <c r="AK10" s="13" t="s">
        <v>45</v>
      </c>
      <c r="AL10" s="14" t="s">
        <v>46</v>
      </c>
      <c r="AM10" s="15" t="s">
        <v>59</v>
      </c>
    </row>
    <row r="11" spans="1:41">
      <c r="A11" s="1">
        <v>9</v>
      </c>
      <c r="B11" s="12" t="s">
        <v>23</v>
      </c>
      <c r="C11" s="13" t="s">
        <v>24</v>
      </c>
      <c r="D11" s="14">
        <v>2008</v>
      </c>
      <c r="E11" s="21">
        <v>9.1999999999999993</v>
      </c>
      <c r="F11" s="15">
        <v>2</v>
      </c>
      <c r="G11" s="16" t="s">
        <v>206</v>
      </c>
      <c r="H11" s="14" t="s">
        <v>344</v>
      </c>
      <c r="I11" s="13">
        <v>69</v>
      </c>
      <c r="J11" s="13" t="s">
        <v>29</v>
      </c>
      <c r="L11" s="16">
        <v>1</v>
      </c>
      <c r="M11" s="13">
        <f t="shared" si="1"/>
        <v>0.5</v>
      </c>
      <c r="N11" s="13">
        <v>1</v>
      </c>
      <c r="O11" s="13">
        <f t="shared" si="2"/>
        <v>0.5</v>
      </c>
      <c r="P11" s="13">
        <f t="shared" si="3"/>
        <v>2</v>
      </c>
      <c r="Q11" s="13">
        <f t="shared" si="4"/>
        <v>1</v>
      </c>
      <c r="R11" s="18">
        <v>2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20">
        <f t="shared" si="0"/>
        <v>2</v>
      </c>
      <c r="AE11" s="13" t="s">
        <v>57</v>
      </c>
      <c r="AF11" s="13">
        <v>400</v>
      </c>
      <c r="AH11" s="16" t="s">
        <v>44</v>
      </c>
      <c r="AI11" s="13">
        <v>11.7</v>
      </c>
      <c r="AJ11" s="13" t="s">
        <v>61</v>
      </c>
      <c r="AK11" s="13" t="s">
        <v>45</v>
      </c>
      <c r="AL11" s="14" t="s">
        <v>46</v>
      </c>
    </row>
    <row r="12" spans="1:41">
      <c r="A12" s="1">
        <v>10</v>
      </c>
      <c r="B12" s="16" t="s">
        <v>23</v>
      </c>
      <c r="C12" s="13" t="s">
        <v>24</v>
      </c>
      <c r="D12" s="14">
        <v>2008</v>
      </c>
      <c r="E12" s="21">
        <v>9.3000000000000007</v>
      </c>
      <c r="F12" s="15">
        <v>2</v>
      </c>
      <c r="G12" s="16" t="s">
        <v>207</v>
      </c>
      <c r="H12" s="26" t="s">
        <v>485</v>
      </c>
      <c r="I12" s="25">
        <v>76</v>
      </c>
      <c r="J12" s="13" t="s">
        <v>29</v>
      </c>
      <c r="L12" s="16">
        <v>1</v>
      </c>
      <c r="M12" s="13">
        <f t="shared" si="1"/>
        <v>0.5</v>
      </c>
      <c r="N12" s="13">
        <v>0</v>
      </c>
      <c r="O12" s="13">
        <f t="shared" si="2"/>
        <v>0</v>
      </c>
      <c r="P12" s="13">
        <f t="shared" si="3"/>
        <v>1</v>
      </c>
      <c r="Q12" s="13">
        <f t="shared" si="4"/>
        <v>0.5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1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20">
        <f t="shared" si="0"/>
        <v>1</v>
      </c>
      <c r="AF12" s="13">
        <v>800</v>
      </c>
      <c r="AG12" s="14" t="s">
        <v>60</v>
      </c>
      <c r="AH12" s="16" t="s">
        <v>44</v>
      </c>
      <c r="AI12" s="13">
        <v>13.1</v>
      </c>
      <c r="AJ12" s="13" t="s">
        <v>61</v>
      </c>
      <c r="AK12" s="13" t="s">
        <v>45</v>
      </c>
      <c r="AL12" s="14" t="s">
        <v>46</v>
      </c>
    </row>
    <row r="13" spans="1:41">
      <c r="A13" s="1">
        <v>11</v>
      </c>
      <c r="B13" s="12" t="s">
        <v>23</v>
      </c>
      <c r="C13" s="13" t="s">
        <v>24</v>
      </c>
      <c r="D13" s="14">
        <v>2008</v>
      </c>
      <c r="E13" s="21">
        <v>9.42</v>
      </c>
      <c r="F13" s="15">
        <v>2</v>
      </c>
      <c r="G13" s="16" t="s">
        <v>208</v>
      </c>
      <c r="H13" s="14" t="s">
        <v>345</v>
      </c>
      <c r="I13" s="13">
        <v>69</v>
      </c>
      <c r="J13" s="13" t="s">
        <v>29</v>
      </c>
      <c r="K13" s="13" t="s">
        <v>62</v>
      </c>
      <c r="L13" s="16">
        <v>1</v>
      </c>
      <c r="M13" s="13">
        <f t="shared" si="1"/>
        <v>0.5</v>
      </c>
      <c r="N13" s="13">
        <v>0</v>
      </c>
      <c r="O13" s="13">
        <f t="shared" si="2"/>
        <v>0</v>
      </c>
      <c r="P13" s="13">
        <f t="shared" si="3"/>
        <v>1</v>
      </c>
      <c r="Q13" s="13">
        <f t="shared" si="4"/>
        <v>0.5</v>
      </c>
      <c r="R13" s="18">
        <v>1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20">
        <f t="shared" si="0"/>
        <v>1</v>
      </c>
      <c r="AH13" s="16" t="s">
        <v>44</v>
      </c>
      <c r="AI13" s="13">
        <v>13.2</v>
      </c>
      <c r="AJ13" s="13" t="s">
        <v>63</v>
      </c>
      <c r="AK13" s="13" t="s">
        <v>45</v>
      </c>
      <c r="AL13" s="14" t="s">
        <v>46</v>
      </c>
      <c r="AM13" s="15" t="s">
        <v>195</v>
      </c>
    </row>
    <row r="14" spans="1:41">
      <c r="A14" s="1">
        <v>12</v>
      </c>
      <c r="B14" s="16" t="s">
        <v>23</v>
      </c>
      <c r="C14" s="13" t="s">
        <v>24</v>
      </c>
      <c r="D14" s="14">
        <v>2008</v>
      </c>
      <c r="E14" s="21">
        <v>9.5</v>
      </c>
      <c r="F14" s="15">
        <v>2</v>
      </c>
      <c r="G14" s="16" t="s">
        <v>209</v>
      </c>
      <c r="H14" s="14" t="s">
        <v>346</v>
      </c>
      <c r="I14" s="13">
        <v>55</v>
      </c>
      <c r="J14" s="13" t="s">
        <v>29</v>
      </c>
      <c r="L14" s="16">
        <v>1</v>
      </c>
      <c r="M14" s="13">
        <f t="shared" si="1"/>
        <v>0.5</v>
      </c>
      <c r="N14" s="13">
        <v>1</v>
      </c>
      <c r="O14" s="13">
        <f t="shared" si="2"/>
        <v>0.5</v>
      </c>
      <c r="P14" s="13">
        <f t="shared" si="3"/>
        <v>2</v>
      </c>
      <c r="Q14" s="13">
        <f t="shared" si="4"/>
        <v>1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1</v>
      </c>
      <c r="AC14" s="18">
        <v>0</v>
      </c>
      <c r="AD14" s="20">
        <f>R14+S14+T14+U14+V14+W14+X14+Y14+Z14+AA14+AC14+AB14</f>
        <v>1</v>
      </c>
      <c r="AH14" s="16" t="s">
        <v>44</v>
      </c>
      <c r="AI14" s="13">
        <v>11</v>
      </c>
      <c r="AJ14" s="13" t="s">
        <v>64</v>
      </c>
      <c r="AK14" s="13" t="s">
        <v>45</v>
      </c>
      <c r="AL14" s="14" t="s">
        <v>46</v>
      </c>
      <c r="AM14" s="15" t="s">
        <v>196</v>
      </c>
    </row>
    <row r="15" spans="1:41">
      <c r="A15" s="1">
        <v>13</v>
      </c>
      <c r="B15" s="12" t="s">
        <v>23</v>
      </c>
      <c r="C15" s="13" t="s">
        <v>24</v>
      </c>
      <c r="D15" s="14">
        <v>2008</v>
      </c>
      <c r="E15" s="21">
        <v>10.050000000000001</v>
      </c>
      <c r="F15" s="15">
        <v>2</v>
      </c>
      <c r="G15" s="16" t="s">
        <v>210</v>
      </c>
      <c r="H15" s="14" t="s">
        <v>347</v>
      </c>
      <c r="I15" s="13">
        <v>58</v>
      </c>
      <c r="J15" s="13" t="s">
        <v>29</v>
      </c>
      <c r="L15" s="16">
        <v>1</v>
      </c>
      <c r="M15" s="13">
        <f t="shared" si="1"/>
        <v>0.5</v>
      </c>
      <c r="N15" s="13">
        <v>0</v>
      </c>
      <c r="O15" s="13">
        <f t="shared" si="2"/>
        <v>0</v>
      </c>
      <c r="P15" s="13">
        <f t="shared" si="3"/>
        <v>1</v>
      </c>
      <c r="Q15" s="13">
        <f t="shared" si="4"/>
        <v>0.5</v>
      </c>
      <c r="R15" s="18">
        <v>1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20">
        <f t="shared" ref="AD15:AD78" si="5">R15+S15+T15+U15+V15+W15+X15+Y15+Z15+AA15+AC15+AB15</f>
        <v>1</v>
      </c>
      <c r="AE15" s="13" t="s">
        <v>197</v>
      </c>
      <c r="AF15" s="13">
        <v>400</v>
      </c>
      <c r="AG15" s="14" t="s">
        <v>60</v>
      </c>
      <c r="AH15" s="16" t="s">
        <v>44</v>
      </c>
      <c r="AI15" s="13">
        <v>13.6</v>
      </c>
      <c r="AJ15" s="13" t="s">
        <v>65</v>
      </c>
      <c r="AK15" s="13" t="s">
        <v>45</v>
      </c>
      <c r="AL15" s="14" t="s">
        <v>46</v>
      </c>
    </row>
    <row r="16" spans="1:41">
      <c r="A16" s="1">
        <v>14</v>
      </c>
      <c r="B16" s="16" t="s">
        <v>23</v>
      </c>
      <c r="C16" s="13" t="s">
        <v>24</v>
      </c>
      <c r="D16" s="14">
        <v>2008</v>
      </c>
      <c r="E16" s="21">
        <v>10.1</v>
      </c>
      <c r="F16" s="15">
        <v>2</v>
      </c>
      <c r="G16" s="16" t="s">
        <v>211</v>
      </c>
      <c r="H16" s="14" t="s">
        <v>348</v>
      </c>
      <c r="I16" s="13">
        <v>56</v>
      </c>
      <c r="J16" s="13" t="s">
        <v>29</v>
      </c>
      <c r="L16" s="16">
        <v>1</v>
      </c>
      <c r="M16" s="13">
        <f t="shared" si="1"/>
        <v>0.5</v>
      </c>
      <c r="N16" s="13">
        <v>1</v>
      </c>
      <c r="O16" s="13">
        <f t="shared" si="2"/>
        <v>0.5</v>
      </c>
      <c r="P16" s="13">
        <f t="shared" si="3"/>
        <v>2</v>
      </c>
      <c r="Q16" s="13">
        <f t="shared" si="4"/>
        <v>1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2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20">
        <f t="shared" si="5"/>
        <v>2</v>
      </c>
      <c r="AF16" s="13">
        <v>1852</v>
      </c>
      <c r="AG16" s="14" t="s">
        <v>60</v>
      </c>
      <c r="AH16" s="16" t="s">
        <v>44</v>
      </c>
      <c r="AI16" s="13">
        <v>13.8</v>
      </c>
      <c r="AJ16" s="13" t="s">
        <v>66</v>
      </c>
      <c r="AK16" s="13" t="s">
        <v>45</v>
      </c>
      <c r="AL16" s="14" t="s">
        <v>46</v>
      </c>
    </row>
    <row r="17" spans="1:39">
      <c r="A17" s="1">
        <v>15</v>
      </c>
      <c r="B17" s="12" t="s">
        <v>23</v>
      </c>
      <c r="C17" s="13" t="s">
        <v>24</v>
      </c>
      <c r="D17" s="14">
        <v>2008</v>
      </c>
      <c r="E17" s="21">
        <v>10.14</v>
      </c>
      <c r="F17" s="15">
        <v>2</v>
      </c>
      <c r="G17" s="16" t="s">
        <v>212</v>
      </c>
      <c r="H17" s="14" t="s">
        <v>349</v>
      </c>
      <c r="I17" s="13">
        <v>56</v>
      </c>
      <c r="J17" s="13" t="s">
        <v>29</v>
      </c>
      <c r="L17" s="16">
        <v>1</v>
      </c>
      <c r="M17" s="13">
        <f t="shared" si="1"/>
        <v>0.5</v>
      </c>
      <c r="N17" s="13">
        <v>1</v>
      </c>
      <c r="O17" s="13">
        <f t="shared" si="2"/>
        <v>0.5</v>
      </c>
      <c r="P17" s="13">
        <f t="shared" si="3"/>
        <v>2</v>
      </c>
      <c r="Q17" s="13">
        <f t="shared" si="4"/>
        <v>1</v>
      </c>
      <c r="R17" s="18">
        <v>2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20">
        <f t="shared" si="5"/>
        <v>2</v>
      </c>
      <c r="AF17" s="13">
        <v>1852</v>
      </c>
      <c r="AH17" s="16" t="s">
        <v>44</v>
      </c>
      <c r="AI17" s="13">
        <v>13.7</v>
      </c>
      <c r="AJ17" s="13" t="s">
        <v>67</v>
      </c>
      <c r="AK17" s="13" t="s">
        <v>45</v>
      </c>
      <c r="AL17" s="14" t="s">
        <v>46</v>
      </c>
    </row>
    <row r="18" spans="1:39">
      <c r="A18" s="1">
        <v>16</v>
      </c>
      <c r="B18" s="16" t="s">
        <v>23</v>
      </c>
      <c r="C18" s="13" t="s">
        <v>24</v>
      </c>
      <c r="D18" s="14">
        <v>2008</v>
      </c>
      <c r="E18" s="21">
        <v>10.199999999999999</v>
      </c>
      <c r="F18" s="15">
        <v>2</v>
      </c>
      <c r="G18" s="16" t="s">
        <v>213</v>
      </c>
      <c r="H18" s="14" t="s">
        <v>350</v>
      </c>
      <c r="I18" s="13">
        <v>63</v>
      </c>
      <c r="J18" s="13" t="s">
        <v>29</v>
      </c>
      <c r="L18" s="16">
        <v>3</v>
      </c>
      <c r="M18" s="13">
        <f t="shared" si="1"/>
        <v>1.5</v>
      </c>
      <c r="N18" s="13">
        <v>0</v>
      </c>
      <c r="O18" s="13">
        <f t="shared" si="2"/>
        <v>0</v>
      </c>
      <c r="P18" s="13">
        <f t="shared" si="3"/>
        <v>3</v>
      </c>
      <c r="Q18" s="13">
        <f t="shared" si="4"/>
        <v>1.5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3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20">
        <f t="shared" si="5"/>
        <v>3</v>
      </c>
      <c r="AE18" s="13" t="s">
        <v>197</v>
      </c>
      <c r="AF18" s="13">
        <v>500</v>
      </c>
      <c r="AG18" s="14" t="s">
        <v>60</v>
      </c>
      <c r="AH18" s="16" t="s">
        <v>44</v>
      </c>
      <c r="AK18" s="13" t="s">
        <v>45</v>
      </c>
      <c r="AL18" s="14" t="s">
        <v>46</v>
      </c>
    </row>
    <row r="19" spans="1:39">
      <c r="A19" s="1">
        <v>17</v>
      </c>
      <c r="B19" s="12" t="s">
        <v>23</v>
      </c>
      <c r="C19" s="13" t="s">
        <v>24</v>
      </c>
      <c r="D19" s="14">
        <v>2008</v>
      </c>
      <c r="E19" s="21">
        <v>10.3</v>
      </c>
      <c r="F19" s="15">
        <v>2</v>
      </c>
      <c r="G19" s="16" t="s">
        <v>214</v>
      </c>
      <c r="H19" s="14" t="s">
        <v>351</v>
      </c>
      <c r="I19" s="13">
        <v>65</v>
      </c>
      <c r="J19" s="13" t="s">
        <v>29</v>
      </c>
      <c r="L19" s="16">
        <v>6</v>
      </c>
      <c r="M19" s="13">
        <f t="shared" si="1"/>
        <v>3</v>
      </c>
      <c r="N19" s="13">
        <v>0</v>
      </c>
      <c r="O19" s="13">
        <f t="shared" si="2"/>
        <v>0</v>
      </c>
      <c r="P19" s="13">
        <f t="shared" si="3"/>
        <v>6</v>
      </c>
      <c r="Q19" s="13">
        <f t="shared" si="4"/>
        <v>3</v>
      </c>
      <c r="AD19" s="20">
        <f t="shared" si="5"/>
        <v>0</v>
      </c>
      <c r="AE19" s="13" t="s">
        <v>57</v>
      </c>
      <c r="AF19" s="13">
        <v>800</v>
      </c>
      <c r="AH19" s="16" t="s">
        <v>44</v>
      </c>
      <c r="AI19" s="13">
        <v>13.7</v>
      </c>
      <c r="AJ19" s="13" t="s">
        <v>68</v>
      </c>
      <c r="AK19" s="13" t="s">
        <v>69</v>
      </c>
      <c r="AL19" s="14" t="s">
        <v>46</v>
      </c>
    </row>
    <row r="20" spans="1:39">
      <c r="A20" s="1">
        <v>18</v>
      </c>
      <c r="B20" s="16" t="s">
        <v>23</v>
      </c>
      <c r="C20" s="13" t="s">
        <v>24</v>
      </c>
      <c r="D20" s="14">
        <v>2008</v>
      </c>
      <c r="E20" s="21">
        <v>10.45</v>
      </c>
      <c r="F20" s="15">
        <v>2</v>
      </c>
      <c r="G20" s="16" t="s">
        <v>481</v>
      </c>
      <c r="H20" s="14" t="s">
        <v>352</v>
      </c>
      <c r="I20" s="13">
        <v>53</v>
      </c>
      <c r="J20" s="13" t="s">
        <v>29</v>
      </c>
      <c r="L20" s="16">
        <v>2</v>
      </c>
      <c r="M20" s="13">
        <f t="shared" si="1"/>
        <v>1</v>
      </c>
      <c r="N20" s="13">
        <v>0</v>
      </c>
      <c r="O20" s="13">
        <f t="shared" si="2"/>
        <v>0</v>
      </c>
      <c r="P20" s="13">
        <f t="shared" si="3"/>
        <v>2</v>
      </c>
      <c r="Q20" s="13">
        <f t="shared" si="4"/>
        <v>1</v>
      </c>
      <c r="AD20" s="20">
        <f t="shared" si="5"/>
        <v>0</v>
      </c>
      <c r="AE20" s="13" t="s">
        <v>57</v>
      </c>
      <c r="AF20" s="13">
        <v>2778</v>
      </c>
      <c r="AH20" s="16" t="s">
        <v>44</v>
      </c>
      <c r="AI20" s="13">
        <v>13.7</v>
      </c>
      <c r="AJ20" s="13" t="s">
        <v>70</v>
      </c>
      <c r="AK20" s="13" t="s">
        <v>69</v>
      </c>
      <c r="AL20" s="14" t="s">
        <v>46</v>
      </c>
    </row>
    <row r="21" spans="1:39">
      <c r="A21" s="1">
        <v>19</v>
      </c>
      <c r="B21" s="12" t="s">
        <v>23</v>
      </c>
      <c r="C21" s="13" t="s">
        <v>24</v>
      </c>
      <c r="D21" s="14">
        <v>2008</v>
      </c>
      <c r="E21" s="21">
        <v>11.3</v>
      </c>
      <c r="F21" s="15">
        <v>2</v>
      </c>
      <c r="G21" s="16" t="s">
        <v>215</v>
      </c>
      <c r="H21" s="14" t="s">
        <v>353</v>
      </c>
      <c r="I21" s="13">
        <v>45</v>
      </c>
      <c r="J21" s="13" t="s">
        <v>29</v>
      </c>
      <c r="L21" s="16">
        <v>2</v>
      </c>
      <c r="M21" s="13">
        <f t="shared" si="1"/>
        <v>1</v>
      </c>
      <c r="N21" s="13">
        <v>0</v>
      </c>
      <c r="O21" s="13">
        <f t="shared" si="2"/>
        <v>0</v>
      </c>
      <c r="P21" s="13">
        <f t="shared" si="3"/>
        <v>2</v>
      </c>
      <c r="Q21" s="13">
        <f t="shared" si="4"/>
        <v>1</v>
      </c>
      <c r="AD21" s="20">
        <f t="shared" si="5"/>
        <v>0</v>
      </c>
      <c r="AE21" s="13" t="s">
        <v>57</v>
      </c>
      <c r="AF21" s="13">
        <v>800</v>
      </c>
      <c r="AH21" s="16" t="s">
        <v>44</v>
      </c>
      <c r="AI21" s="13">
        <v>11.3</v>
      </c>
      <c r="AJ21" s="13" t="s">
        <v>71</v>
      </c>
      <c r="AK21" s="13" t="s">
        <v>69</v>
      </c>
      <c r="AL21" s="14" t="s">
        <v>46</v>
      </c>
    </row>
    <row r="22" spans="1:39">
      <c r="A22" s="1">
        <v>20</v>
      </c>
      <c r="B22" s="16" t="s">
        <v>23</v>
      </c>
      <c r="C22" s="13" t="s">
        <v>24</v>
      </c>
      <c r="D22" s="14">
        <v>2008</v>
      </c>
      <c r="E22" s="21">
        <v>11.45</v>
      </c>
      <c r="F22" s="15">
        <v>2</v>
      </c>
      <c r="G22" s="16" t="s">
        <v>216</v>
      </c>
      <c r="H22" s="14" t="s">
        <v>354</v>
      </c>
      <c r="I22" s="13">
        <v>49</v>
      </c>
      <c r="J22" s="13" t="s">
        <v>29</v>
      </c>
      <c r="K22" s="13" t="s">
        <v>54</v>
      </c>
      <c r="L22" s="16">
        <v>2</v>
      </c>
      <c r="M22" s="13">
        <f t="shared" si="1"/>
        <v>1</v>
      </c>
      <c r="N22" s="13">
        <v>0</v>
      </c>
      <c r="O22" s="13">
        <f t="shared" si="2"/>
        <v>0</v>
      </c>
      <c r="P22" s="13">
        <f t="shared" si="3"/>
        <v>2</v>
      </c>
      <c r="Q22" s="13">
        <f t="shared" si="4"/>
        <v>1</v>
      </c>
      <c r="AD22" s="20">
        <f t="shared" si="5"/>
        <v>0</v>
      </c>
      <c r="AE22" s="13" t="s">
        <v>156</v>
      </c>
      <c r="AF22" s="13">
        <v>800</v>
      </c>
      <c r="AH22" s="16" t="s">
        <v>44</v>
      </c>
      <c r="AI22" s="13">
        <v>11</v>
      </c>
      <c r="AJ22" s="13" t="s">
        <v>73</v>
      </c>
      <c r="AK22" s="13" t="s">
        <v>69</v>
      </c>
      <c r="AL22" s="14" t="s">
        <v>46</v>
      </c>
    </row>
    <row r="23" spans="1:39">
      <c r="A23" s="1">
        <v>21</v>
      </c>
      <c r="B23" s="12" t="s">
        <v>23</v>
      </c>
      <c r="C23" s="13" t="s">
        <v>24</v>
      </c>
      <c r="D23" s="14">
        <v>2008</v>
      </c>
      <c r="E23" s="21">
        <v>11.54</v>
      </c>
      <c r="F23" s="15">
        <v>2</v>
      </c>
      <c r="G23" s="16" t="s">
        <v>217</v>
      </c>
      <c r="H23" s="14" t="s">
        <v>355</v>
      </c>
      <c r="I23" s="13">
        <v>50</v>
      </c>
      <c r="J23" s="13" t="s">
        <v>29</v>
      </c>
      <c r="L23" s="16">
        <v>1</v>
      </c>
      <c r="M23" s="13">
        <f t="shared" si="1"/>
        <v>0.5</v>
      </c>
      <c r="N23" s="13">
        <v>0</v>
      </c>
      <c r="O23" s="13">
        <f t="shared" si="2"/>
        <v>0</v>
      </c>
      <c r="P23" s="13">
        <f t="shared" si="3"/>
        <v>1</v>
      </c>
      <c r="Q23" s="13">
        <f t="shared" si="4"/>
        <v>0.5</v>
      </c>
      <c r="AD23" s="20">
        <f t="shared" si="5"/>
        <v>0</v>
      </c>
      <c r="AE23" s="13" t="s">
        <v>57</v>
      </c>
      <c r="AF23" s="13">
        <v>100</v>
      </c>
      <c r="AH23" s="16" t="s">
        <v>44</v>
      </c>
      <c r="AI23" s="13">
        <v>10</v>
      </c>
      <c r="AJ23" s="13" t="s">
        <v>74</v>
      </c>
      <c r="AK23" s="13" t="s">
        <v>69</v>
      </c>
      <c r="AL23" s="14" t="s">
        <v>46</v>
      </c>
    </row>
    <row r="24" spans="1:39">
      <c r="A24" s="1">
        <v>22</v>
      </c>
      <c r="B24" s="16" t="s">
        <v>23</v>
      </c>
      <c r="C24" s="13" t="s">
        <v>24</v>
      </c>
      <c r="D24" s="14">
        <v>2008</v>
      </c>
      <c r="E24" s="21">
        <v>12.05</v>
      </c>
      <c r="F24" s="15">
        <v>2</v>
      </c>
      <c r="G24" s="16" t="s">
        <v>218</v>
      </c>
      <c r="H24" s="14" t="s">
        <v>356</v>
      </c>
      <c r="I24" s="13">
        <v>54</v>
      </c>
      <c r="J24" s="13" t="s">
        <v>29</v>
      </c>
      <c r="K24" s="13" t="s">
        <v>75</v>
      </c>
      <c r="L24" s="16">
        <v>1</v>
      </c>
      <c r="M24" s="13">
        <f t="shared" si="1"/>
        <v>0.5</v>
      </c>
      <c r="N24" s="13">
        <v>0</v>
      </c>
      <c r="O24" s="13">
        <f t="shared" si="2"/>
        <v>0</v>
      </c>
      <c r="P24" s="13">
        <f t="shared" si="3"/>
        <v>1</v>
      </c>
      <c r="Q24" s="13">
        <f t="shared" si="4"/>
        <v>0.5</v>
      </c>
      <c r="AD24" s="20">
        <f t="shared" si="5"/>
        <v>0</v>
      </c>
      <c r="AE24" s="13" t="s">
        <v>197</v>
      </c>
      <c r="AF24" s="13">
        <v>600</v>
      </c>
      <c r="AH24" s="16" t="s">
        <v>44</v>
      </c>
      <c r="AI24" s="13">
        <v>10</v>
      </c>
      <c r="AJ24" s="13" t="s">
        <v>66</v>
      </c>
      <c r="AK24" s="13" t="s">
        <v>69</v>
      </c>
      <c r="AL24" s="14" t="s">
        <v>46</v>
      </c>
    </row>
    <row r="25" spans="1:39">
      <c r="A25" s="1">
        <v>23</v>
      </c>
      <c r="B25" s="12" t="s">
        <v>23</v>
      </c>
      <c r="C25" s="13" t="s">
        <v>24</v>
      </c>
      <c r="D25" s="14">
        <v>2008</v>
      </c>
      <c r="E25" s="21">
        <v>12.35</v>
      </c>
      <c r="F25" s="15">
        <v>2</v>
      </c>
      <c r="G25" s="16" t="s">
        <v>219</v>
      </c>
      <c r="H25" s="14" t="s">
        <v>357</v>
      </c>
      <c r="I25" s="13">
        <v>38</v>
      </c>
      <c r="J25" s="13" t="s">
        <v>29</v>
      </c>
      <c r="L25" s="16">
        <v>1</v>
      </c>
      <c r="M25" s="13">
        <f t="shared" si="1"/>
        <v>0.5</v>
      </c>
      <c r="N25" s="13">
        <v>0</v>
      </c>
      <c r="O25" s="13">
        <f t="shared" si="2"/>
        <v>0</v>
      </c>
      <c r="P25" s="13">
        <f t="shared" si="3"/>
        <v>1</v>
      </c>
      <c r="Q25" s="13">
        <f t="shared" si="4"/>
        <v>0.5</v>
      </c>
      <c r="AD25" s="20">
        <f t="shared" si="5"/>
        <v>0</v>
      </c>
      <c r="AF25" s="13">
        <v>3704</v>
      </c>
      <c r="AH25" s="16" t="s">
        <v>44</v>
      </c>
      <c r="AI25" s="13">
        <v>15</v>
      </c>
      <c r="AJ25" s="13" t="s">
        <v>76</v>
      </c>
      <c r="AK25" s="13" t="s">
        <v>69</v>
      </c>
      <c r="AL25" s="14" t="s">
        <v>46</v>
      </c>
    </row>
    <row r="26" spans="1:39">
      <c r="A26" s="1">
        <v>24</v>
      </c>
      <c r="B26" s="16" t="s">
        <v>23</v>
      </c>
      <c r="C26" s="13" t="s">
        <v>24</v>
      </c>
      <c r="D26" s="14">
        <v>2008</v>
      </c>
      <c r="E26" s="21">
        <v>13.05</v>
      </c>
      <c r="F26" s="15">
        <v>2</v>
      </c>
      <c r="G26" s="16" t="s">
        <v>220</v>
      </c>
      <c r="H26" s="14" t="s">
        <v>358</v>
      </c>
      <c r="I26" s="13">
        <v>12</v>
      </c>
      <c r="J26" s="13" t="s">
        <v>29</v>
      </c>
      <c r="L26" s="16">
        <v>1</v>
      </c>
      <c r="M26" s="13">
        <f t="shared" si="1"/>
        <v>0.5</v>
      </c>
      <c r="N26" s="13">
        <v>1</v>
      </c>
      <c r="O26" s="13">
        <f t="shared" si="2"/>
        <v>0.5</v>
      </c>
      <c r="P26" s="13">
        <f t="shared" si="3"/>
        <v>2</v>
      </c>
      <c r="Q26" s="13">
        <f t="shared" si="4"/>
        <v>1</v>
      </c>
      <c r="R26" s="18">
        <v>1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20">
        <f t="shared" si="5"/>
        <v>1</v>
      </c>
      <c r="AE26" s="13" t="s">
        <v>57</v>
      </c>
      <c r="AF26" s="13">
        <v>600</v>
      </c>
      <c r="AH26" s="16" t="s">
        <v>44</v>
      </c>
      <c r="AI26" s="13">
        <v>11</v>
      </c>
      <c r="AJ26" s="13" t="s">
        <v>77</v>
      </c>
      <c r="AK26" s="13" t="s">
        <v>69</v>
      </c>
      <c r="AL26" s="14" t="s">
        <v>46</v>
      </c>
    </row>
    <row r="27" spans="1:39">
      <c r="A27" s="1">
        <v>25</v>
      </c>
      <c r="B27" s="12" t="s">
        <v>23</v>
      </c>
      <c r="C27" s="13" t="s">
        <v>24</v>
      </c>
      <c r="D27" s="14">
        <v>2008</v>
      </c>
      <c r="E27" s="21">
        <v>13.15</v>
      </c>
      <c r="F27" s="15">
        <v>2</v>
      </c>
      <c r="G27" s="16" t="s">
        <v>221</v>
      </c>
      <c r="H27" s="14" t="s">
        <v>359</v>
      </c>
      <c r="I27" s="13">
        <v>8</v>
      </c>
      <c r="J27" s="13" t="s">
        <v>29</v>
      </c>
      <c r="L27" s="16">
        <v>1</v>
      </c>
      <c r="M27" s="13">
        <f t="shared" si="1"/>
        <v>0.5</v>
      </c>
      <c r="N27" s="13">
        <v>1</v>
      </c>
      <c r="O27" s="13">
        <f t="shared" si="2"/>
        <v>0.5</v>
      </c>
      <c r="P27" s="13">
        <f t="shared" si="3"/>
        <v>2</v>
      </c>
      <c r="Q27" s="13">
        <f t="shared" si="4"/>
        <v>1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2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20">
        <f t="shared" si="5"/>
        <v>2</v>
      </c>
      <c r="AE27" s="13" t="s">
        <v>57</v>
      </c>
      <c r="AF27" s="13">
        <v>400</v>
      </c>
      <c r="AG27" s="14" t="s">
        <v>78</v>
      </c>
      <c r="AH27" s="16" t="s">
        <v>44</v>
      </c>
      <c r="AI27" s="13">
        <v>11.1</v>
      </c>
      <c r="AJ27" s="13" t="s">
        <v>79</v>
      </c>
      <c r="AK27" s="13" t="s">
        <v>45</v>
      </c>
      <c r="AL27" s="14" t="s">
        <v>46</v>
      </c>
    </row>
    <row r="28" spans="1:39">
      <c r="A28" s="1">
        <v>26</v>
      </c>
      <c r="B28" s="16" t="s">
        <v>23</v>
      </c>
      <c r="C28" s="13" t="s">
        <v>24</v>
      </c>
      <c r="D28" s="14">
        <v>2008</v>
      </c>
      <c r="E28" s="21">
        <v>13.23</v>
      </c>
      <c r="F28" s="15">
        <v>2</v>
      </c>
      <c r="G28" s="16" t="s">
        <v>222</v>
      </c>
      <c r="H28" s="14" t="s">
        <v>360</v>
      </c>
      <c r="I28" s="13">
        <v>13</v>
      </c>
      <c r="J28" s="13" t="s">
        <v>29</v>
      </c>
      <c r="L28" s="16">
        <v>1</v>
      </c>
      <c r="M28" s="13">
        <f t="shared" si="1"/>
        <v>0.5</v>
      </c>
      <c r="N28" s="13">
        <v>1</v>
      </c>
      <c r="O28" s="13">
        <f t="shared" si="2"/>
        <v>0.5</v>
      </c>
      <c r="P28" s="13">
        <f t="shared" si="3"/>
        <v>2</v>
      </c>
      <c r="Q28" s="13">
        <f t="shared" si="4"/>
        <v>1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2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20">
        <f t="shared" si="5"/>
        <v>2</v>
      </c>
      <c r="AE28" s="13" t="s">
        <v>57</v>
      </c>
      <c r="AF28" s="13">
        <v>400</v>
      </c>
      <c r="AG28" s="14" t="s">
        <v>78</v>
      </c>
      <c r="AH28" s="16" t="s">
        <v>44</v>
      </c>
      <c r="AI28" s="13">
        <v>11.4</v>
      </c>
      <c r="AJ28" s="13" t="s">
        <v>80</v>
      </c>
      <c r="AK28" s="13" t="s">
        <v>45</v>
      </c>
      <c r="AL28" s="14" t="s">
        <v>46</v>
      </c>
    </row>
    <row r="29" spans="1:39">
      <c r="A29" s="1">
        <v>27</v>
      </c>
      <c r="B29" s="12" t="s">
        <v>23</v>
      </c>
      <c r="C29" s="13" t="s">
        <v>24</v>
      </c>
      <c r="D29" s="14">
        <v>2008</v>
      </c>
      <c r="E29" s="21">
        <v>13.48</v>
      </c>
      <c r="F29" s="15">
        <v>2</v>
      </c>
      <c r="G29" s="16" t="s">
        <v>223</v>
      </c>
      <c r="H29" s="14" t="s">
        <v>361</v>
      </c>
      <c r="I29" s="13">
        <v>0</v>
      </c>
      <c r="J29" s="13" t="s">
        <v>29</v>
      </c>
      <c r="L29" s="16">
        <v>1</v>
      </c>
      <c r="M29" s="13">
        <f t="shared" si="1"/>
        <v>0.5</v>
      </c>
      <c r="N29" s="13">
        <v>0</v>
      </c>
      <c r="O29" s="13">
        <f t="shared" si="2"/>
        <v>0</v>
      </c>
      <c r="P29" s="13">
        <f t="shared" si="3"/>
        <v>1</v>
      </c>
      <c r="Q29" s="13">
        <f t="shared" si="4"/>
        <v>0.5</v>
      </c>
      <c r="AD29" s="20">
        <f t="shared" si="5"/>
        <v>0</v>
      </c>
      <c r="AH29" s="16" t="s">
        <v>44</v>
      </c>
      <c r="AI29" s="13">
        <v>8.5</v>
      </c>
      <c r="AJ29" s="13" t="s">
        <v>81</v>
      </c>
      <c r="AK29" s="13" t="s">
        <v>45</v>
      </c>
      <c r="AL29" s="14" t="s">
        <v>46</v>
      </c>
      <c r="AM29" s="15" t="s">
        <v>479</v>
      </c>
    </row>
    <row r="30" spans="1:39">
      <c r="A30" s="1">
        <v>28</v>
      </c>
      <c r="B30" s="16" t="s">
        <v>23</v>
      </c>
      <c r="C30" s="13" t="s">
        <v>24</v>
      </c>
      <c r="D30" s="14">
        <v>2008</v>
      </c>
      <c r="E30" s="21">
        <v>13.55</v>
      </c>
      <c r="F30" s="15">
        <v>2</v>
      </c>
      <c r="G30" s="16" t="s">
        <v>224</v>
      </c>
      <c r="H30" s="14" t="s">
        <v>362</v>
      </c>
      <c r="I30" s="13">
        <v>6</v>
      </c>
      <c r="J30" s="13" t="s">
        <v>29</v>
      </c>
      <c r="L30" s="16">
        <v>2</v>
      </c>
      <c r="M30" s="13">
        <f t="shared" si="1"/>
        <v>1</v>
      </c>
      <c r="N30" s="13">
        <v>0</v>
      </c>
      <c r="O30" s="13">
        <f t="shared" si="2"/>
        <v>0</v>
      </c>
      <c r="P30" s="13">
        <f t="shared" si="3"/>
        <v>2</v>
      </c>
      <c r="Q30" s="13">
        <f t="shared" si="4"/>
        <v>1</v>
      </c>
      <c r="R30" s="18">
        <v>2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20">
        <f t="shared" si="5"/>
        <v>2</v>
      </c>
      <c r="AE30" s="13" t="s">
        <v>57</v>
      </c>
      <c r="AF30" s="13">
        <v>800</v>
      </c>
      <c r="AH30" s="16" t="s">
        <v>44</v>
      </c>
      <c r="AI30" s="13">
        <v>8.4</v>
      </c>
      <c r="AJ30" s="13" t="s">
        <v>80</v>
      </c>
      <c r="AK30" s="13" t="s">
        <v>45</v>
      </c>
      <c r="AL30" s="14" t="s">
        <v>46</v>
      </c>
    </row>
    <row r="31" spans="1:39">
      <c r="A31" s="1">
        <v>29</v>
      </c>
      <c r="B31" s="12" t="s">
        <v>23</v>
      </c>
      <c r="C31" s="13" t="s">
        <v>24</v>
      </c>
      <c r="D31" s="14">
        <v>2008</v>
      </c>
      <c r="E31" s="21">
        <v>14.2</v>
      </c>
      <c r="F31" s="15">
        <v>2</v>
      </c>
      <c r="G31" s="16" t="s">
        <v>225</v>
      </c>
      <c r="H31" s="14" t="s">
        <v>363</v>
      </c>
      <c r="I31" s="13">
        <v>6</v>
      </c>
      <c r="J31" s="13" t="s">
        <v>29</v>
      </c>
      <c r="L31" s="16">
        <v>2</v>
      </c>
      <c r="M31" s="13">
        <f t="shared" si="1"/>
        <v>1</v>
      </c>
      <c r="N31" s="13">
        <v>1</v>
      </c>
      <c r="O31" s="13">
        <f t="shared" si="2"/>
        <v>0.5</v>
      </c>
      <c r="P31" s="13">
        <f t="shared" si="3"/>
        <v>3</v>
      </c>
      <c r="Q31" s="13">
        <f t="shared" si="4"/>
        <v>1.5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3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20">
        <f t="shared" si="5"/>
        <v>3</v>
      </c>
      <c r="AE31" s="13" t="s">
        <v>57</v>
      </c>
      <c r="AF31" s="13">
        <v>200</v>
      </c>
      <c r="AG31" s="14" t="s">
        <v>83</v>
      </c>
      <c r="AH31" s="16" t="s">
        <v>44</v>
      </c>
      <c r="AK31" s="13" t="s">
        <v>45</v>
      </c>
      <c r="AL31" s="14" t="s">
        <v>46</v>
      </c>
    </row>
    <row r="32" spans="1:39">
      <c r="A32" s="1">
        <v>30</v>
      </c>
      <c r="B32" s="16" t="s">
        <v>23</v>
      </c>
      <c r="C32" s="13" t="s">
        <v>24</v>
      </c>
      <c r="D32" s="14">
        <v>2008</v>
      </c>
      <c r="E32" s="21">
        <v>14.33</v>
      </c>
      <c r="F32" s="15">
        <v>2</v>
      </c>
      <c r="G32" s="16" t="s">
        <v>226</v>
      </c>
      <c r="H32" s="14" t="s">
        <v>364</v>
      </c>
      <c r="I32" s="13">
        <v>9</v>
      </c>
      <c r="J32" s="13" t="s">
        <v>29</v>
      </c>
      <c r="L32" s="16">
        <v>1</v>
      </c>
      <c r="M32" s="13">
        <f t="shared" si="1"/>
        <v>0.5</v>
      </c>
      <c r="N32" s="13">
        <v>0</v>
      </c>
      <c r="O32" s="13">
        <f t="shared" si="2"/>
        <v>0</v>
      </c>
      <c r="P32" s="13">
        <f t="shared" si="3"/>
        <v>1</v>
      </c>
      <c r="Q32" s="13">
        <f t="shared" si="4"/>
        <v>0.5</v>
      </c>
      <c r="R32" s="18">
        <v>1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20">
        <f>R32+S32+T32+U32+V32+W32+X32+Y32+Z32+AA32+AC32+AB32</f>
        <v>1</v>
      </c>
      <c r="AF32" s="13">
        <v>1852</v>
      </c>
      <c r="AH32" s="16" t="s">
        <v>44</v>
      </c>
      <c r="AI32" s="13">
        <v>9</v>
      </c>
      <c r="AJ32" s="13" t="s">
        <v>82</v>
      </c>
      <c r="AK32" s="13" t="s">
        <v>45</v>
      </c>
      <c r="AL32" s="14" t="s">
        <v>46</v>
      </c>
    </row>
    <row r="33" spans="1:39">
      <c r="A33" s="1">
        <v>31</v>
      </c>
      <c r="B33" s="12" t="s">
        <v>23</v>
      </c>
      <c r="C33" s="13" t="s">
        <v>24</v>
      </c>
      <c r="D33" s="14">
        <v>2008</v>
      </c>
      <c r="E33" s="21">
        <v>15.03</v>
      </c>
      <c r="F33" s="15">
        <v>2</v>
      </c>
      <c r="G33" s="16" t="s">
        <v>227</v>
      </c>
      <c r="H33" s="14" t="s">
        <v>365</v>
      </c>
      <c r="I33" s="13">
        <v>8</v>
      </c>
      <c r="J33" s="13" t="s">
        <v>29</v>
      </c>
      <c r="L33" s="16">
        <v>2</v>
      </c>
      <c r="M33" s="13">
        <f t="shared" si="1"/>
        <v>1</v>
      </c>
      <c r="N33" s="13">
        <v>0</v>
      </c>
      <c r="O33" s="13">
        <f t="shared" si="2"/>
        <v>0</v>
      </c>
      <c r="P33" s="13">
        <f t="shared" si="3"/>
        <v>2</v>
      </c>
      <c r="Q33" s="13">
        <f t="shared" si="4"/>
        <v>1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2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20">
        <f t="shared" si="5"/>
        <v>2</v>
      </c>
      <c r="AF33" s="13">
        <v>500</v>
      </c>
      <c r="AG33" s="14" t="s">
        <v>83</v>
      </c>
      <c r="AH33" s="16" t="s">
        <v>44</v>
      </c>
      <c r="AK33" s="13" t="s">
        <v>45</v>
      </c>
      <c r="AL33" s="14" t="s">
        <v>46</v>
      </c>
    </row>
    <row r="34" spans="1:39">
      <c r="A34" s="1">
        <v>32</v>
      </c>
      <c r="B34" s="16" t="s">
        <v>23</v>
      </c>
      <c r="C34" s="13" t="s">
        <v>24</v>
      </c>
      <c r="D34" s="14">
        <v>2008</v>
      </c>
      <c r="E34" s="21">
        <v>15.1</v>
      </c>
      <c r="F34" s="15">
        <v>2</v>
      </c>
      <c r="G34" s="16" t="s">
        <v>228</v>
      </c>
      <c r="H34" s="14" t="s">
        <v>366</v>
      </c>
      <c r="I34" s="13">
        <v>7</v>
      </c>
      <c r="J34" s="13" t="s">
        <v>29</v>
      </c>
      <c r="L34" s="16">
        <v>3</v>
      </c>
      <c r="M34" s="13">
        <f t="shared" si="1"/>
        <v>1.5</v>
      </c>
      <c r="N34" s="13">
        <v>0</v>
      </c>
      <c r="O34" s="13">
        <f t="shared" si="2"/>
        <v>0</v>
      </c>
      <c r="P34" s="13">
        <f t="shared" si="3"/>
        <v>3</v>
      </c>
      <c r="Q34" s="13">
        <f t="shared" si="4"/>
        <v>1.5</v>
      </c>
      <c r="R34" s="18">
        <v>3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20">
        <f t="shared" si="5"/>
        <v>3</v>
      </c>
      <c r="AE34" s="13" t="s">
        <v>57</v>
      </c>
      <c r="AF34" s="13">
        <v>400</v>
      </c>
      <c r="AH34" s="16" t="s">
        <v>44</v>
      </c>
      <c r="AI34" s="13">
        <v>9.3000000000000007</v>
      </c>
      <c r="AJ34" s="13" t="s">
        <v>82</v>
      </c>
      <c r="AK34" s="13" t="s">
        <v>45</v>
      </c>
      <c r="AL34" s="14" t="s">
        <v>46</v>
      </c>
    </row>
    <row r="35" spans="1:39">
      <c r="A35" s="1">
        <v>33</v>
      </c>
      <c r="B35" s="12" t="s">
        <v>23</v>
      </c>
      <c r="C35" s="13" t="s">
        <v>24</v>
      </c>
      <c r="D35" s="14">
        <v>2008</v>
      </c>
      <c r="E35" s="21">
        <v>15.2</v>
      </c>
      <c r="F35" s="15">
        <v>2</v>
      </c>
      <c r="G35" s="16" t="s">
        <v>229</v>
      </c>
      <c r="H35" s="14" t="s">
        <v>367</v>
      </c>
      <c r="I35" s="13">
        <v>7</v>
      </c>
      <c r="J35" s="13" t="s">
        <v>29</v>
      </c>
      <c r="L35" s="16">
        <v>1</v>
      </c>
      <c r="M35" s="13">
        <f t="shared" si="1"/>
        <v>0.5</v>
      </c>
      <c r="N35" s="13">
        <v>0</v>
      </c>
      <c r="O35" s="13">
        <f t="shared" si="2"/>
        <v>0</v>
      </c>
      <c r="P35" s="13">
        <f t="shared" si="3"/>
        <v>1</v>
      </c>
      <c r="Q35" s="13">
        <f t="shared" si="4"/>
        <v>0.5</v>
      </c>
      <c r="AD35" s="20">
        <f t="shared" si="5"/>
        <v>0</v>
      </c>
      <c r="AE35" s="13" t="s">
        <v>57</v>
      </c>
      <c r="AF35" s="13">
        <v>600</v>
      </c>
      <c r="AH35" s="16" t="s">
        <v>477</v>
      </c>
      <c r="AI35" s="13">
        <v>0.5</v>
      </c>
      <c r="AJ35" s="13" t="s">
        <v>86</v>
      </c>
      <c r="AK35" s="13" t="s">
        <v>45</v>
      </c>
      <c r="AL35" s="14" t="s">
        <v>46</v>
      </c>
      <c r="AM35" s="15" t="s">
        <v>84</v>
      </c>
    </row>
    <row r="36" spans="1:39">
      <c r="A36" s="1">
        <v>34</v>
      </c>
      <c r="B36" s="16" t="s">
        <v>23</v>
      </c>
      <c r="C36" s="13" t="s">
        <v>24</v>
      </c>
      <c r="D36" s="14">
        <v>2008</v>
      </c>
      <c r="E36" s="21">
        <v>15.5</v>
      </c>
      <c r="F36" s="15">
        <v>2</v>
      </c>
      <c r="G36" s="16" t="s">
        <v>230</v>
      </c>
      <c r="H36" s="14" t="s">
        <v>368</v>
      </c>
      <c r="I36" s="13">
        <v>7</v>
      </c>
      <c r="J36" s="13" t="s">
        <v>29</v>
      </c>
      <c r="L36" s="16">
        <v>3</v>
      </c>
      <c r="M36" s="13">
        <f t="shared" si="1"/>
        <v>1.5</v>
      </c>
      <c r="N36" s="13">
        <v>1</v>
      </c>
      <c r="O36" s="13">
        <f t="shared" si="2"/>
        <v>0.5</v>
      </c>
      <c r="P36" s="13">
        <f t="shared" si="3"/>
        <v>4</v>
      </c>
      <c r="Q36" s="13">
        <f t="shared" si="4"/>
        <v>2</v>
      </c>
      <c r="AD36" s="20">
        <f t="shared" si="5"/>
        <v>0</v>
      </c>
      <c r="AE36" s="13" t="s">
        <v>197</v>
      </c>
      <c r="AF36" s="13">
        <v>2778</v>
      </c>
      <c r="AH36" s="16" t="s">
        <v>477</v>
      </c>
      <c r="AI36" s="13">
        <v>8.5</v>
      </c>
      <c r="AJ36" s="13" t="s">
        <v>85</v>
      </c>
      <c r="AK36" s="13" t="s">
        <v>45</v>
      </c>
      <c r="AL36" s="14" t="s">
        <v>46</v>
      </c>
    </row>
    <row r="37" spans="1:39">
      <c r="A37" s="1">
        <v>35</v>
      </c>
      <c r="B37" s="12" t="s">
        <v>23</v>
      </c>
      <c r="C37" s="13" t="s">
        <v>24</v>
      </c>
      <c r="D37" s="14">
        <v>2008</v>
      </c>
      <c r="E37" s="21">
        <v>15.55</v>
      </c>
      <c r="F37" s="15">
        <v>2</v>
      </c>
      <c r="G37" s="16" t="s">
        <v>231</v>
      </c>
      <c r="H37" s="14" t="s">
        <v>369</v>
      </c>
      <c r="I37" s="13">
        <v>6</v>
      </c>
      <c r="J37" s="13" t="s">
        <v>29</v>
      </c>
      <c r="L37" s="16">
        <v>1</v>
      </c>
      <c r="M37" s="13">
        <f t="shared" si="1"/>
        <v>0.5</v>
      </c>
      <c r="N37" s="13">
        <v>1</v>
      </c>
      <c r="O37" s="13">
        <f t="shared" si="2"/>
        <v>0.5</v>
      </c>
      <c r="P37" s="13">
        <f t="shared" si="3"/>
        <v>2</v>
      </c>
      <c r="Q37" s="13">
        <f t="shared" si="4"/>
        <v>1</v>
      </c>
      <c r="AD37" s="20">
        <f t="shared" si="5"/>
        <v>0</v>
      </c>
      <c r="AE37" s="13" t="s">
        <v>197</v>
      </c>
      <c r="AF37" s="13">
        <v>926</v>
      </c>
      <c r="AH37" s="16" t="s">
        <v>477</v>
      </c>
      <c r="AI37" s="13">
        <v>8.9</v>
      </c>
      <c r="AJ37" s="13" t="s">
        <v>63</v>
      </c>
      <c r="AK37" s="13" t="s">
        <v>45</v>
      </c>
      <c r="AL37" s="14" t="s">
        <v>46</v>
      </c>
    </row>
    <row r="38" spans="1:39">
      <c r="A38" s="1">
        <v>36</v>
      </c>
      <c r="B38" s="16" t="s">
        <v>23</v>
      </c>
      <c r="C38" s="13" t="s">
        <v>24</v>
      </c>
      <c r="D38" s="14">
        <v>2008</v>
      </c>
      <c r="E38" s="21">
        <v>15.57</v>
      </c>
      <c r="F38" s="15">
        <v>2</v>
      </c>
      <c r="G38" s="16" t="s">
        <v>232</v>
      </c>
      <c r="H38" s="14" t="s">
        <v>370</v>
      </c>
      <c r="I38" s="13">
        <v>7</v>
      </c>
      <c r="J38" s="13" t="s">
        <v>29</v>
      </c>
      <c r="L38" s="16">
        <v>1</v>
      </c>
      <c r="M38" s="13">
        <f t="shared" si="1"/>
        <v>0.5</v>
      </c>
      <c r="N38" s="13">
        <v>1</v>
      </c>
      <c r="O38" s="13">
        <f t="shared" si="2"/>
        <v>0.5</v>
      </c>
      <c r="P38" s="13">
        <f t="shared" si="3"/>
        <v>2</v>
      </c>
      <c r="Q38" s="13">
        <f t="shared" si="4"/>
        <v>1</v>
      </c>
      <c r="AD38" s="20">
        <f t="shared" si="5"/>
        <v>0</v>
      </c>
      <c r="AE38" s="13" t="s">
        <v>197</v>
      </c>
      <c r="AF38" s="13">
        <v>1852</v>
      </c>
      <c r="AH38" s="16" t="s">
        <v>477</v>
      </c>
      <c r="AI38" s="13">
        <v>8.1999999999999993</v>
      </c>
      <c r="AJ38" s="13" t="s">
        <v>87</v>
      </c>
      <c r="AK38" s="13" t="s">
        <v>45</v>
      </c>
      <c r="AL38" s="14" t="s">
        <v>46</v>
      </c>
    </row>
    <row r="39" spans="1:39">
      <c r="A39" s="1">
        <v>37</v>
      </c>
      <c r="B39" s="12" t="s">
        <v>23</v>
      </c>
      <c r="C39" s="13" t="s">
        <v>24</v>
      </c>
      <c r="D39" s="14">
        <v>2008</v>
      </c>
      <c r="E39" s="21">
        <v>16</v>
      </c>
      <c r="F39" s="15">
        <v>2</v>
      </c>
      <c r="G39" s="16" t="s">
        <v>233</v>
      </c>
      <c r="H39" s="14" t="s">
        <v>371</v>
      </c>
      <c r="I39" s="13">
        <v>6</v>
      </c>
      <c r="J39" s="13" t="s">
        <v>29</v>
      </c>
      <c r="L39" s="16">
        <v>1</v>
      </c>
      <c r="M39" s="13">
        <f t="shared" si="1"/>
        <v>0.5</v>
      </c>
      <c r="N39" s="13">
        <v>1</v>
      </c>
      <c r="O39" s="13">
        <f t="shared" si="2"/>
        <v>0.5</v>
      </c>
      <c r="P39" s="13">
        <f t="shared" si="3"/>
        <v>2</v>
      </c>
      <c r="Q39" s="13">
        <f t="shared" si="4"/>
        <v>1</v>
      </c>
      <c r="AD39" s="20">
        <f t="shared" si="5"/>
        <v>0</v>
      </c>
      <c r="AE39" s="13" t="s">
        <v>197</v>
      </c>
      <c r="AF39" s="13">
        <v>800</v>
      </c>
      <c r="AH39" s="16" t="s">
        <v>477</v>
      </c>
      <c r="AI39" s="13">
        <v>8.1</v>
      </c>
      <c r="AJ39" s="13" t="s">
        <v>88</v>
      </c>
      <c r="AK39" s="13" t="s">
        <v>45</v>
      </c>
      <c r="AL39" s="14" t="s">
        <v>46</v>
      </c>
    </row>
    <row r="40" spans="1:39">
      <c r="A40" s="1">
        <v>38</v>
      </c>
      <c r="B40" s="16" t="s">
        <v>89</v>
      </c>
      <c r="C40" s="13" t="s">
        <v>24</v>
      </c>
      <c r="D40" s="14">
        <v>2008</v>
      </c>
      <c r="E40" s="21">
        <v>7.45</v>
      </c>
      <c r="F40" s="15">
        <v>2</v>
      </c>
      <c r="G40" s="16" t="s">
        <v>90</v>
      </c>
      <c r="H40" s="14" t="s">
        <v>482</v>
      </c>
      <c r="I40" s="13">
        <v>14</v>
      </c>
      <c r="J40" s="13" t="s">
        <v>29</v>
      </c>
      <c r="L40" s="16">
        <v>1</v>
      </c>
      <c r="M40" s="13">
        <f t="shared" si="1"/>
        <v>0.5</v>
      </c>
      <c r="N40" s="13">
        <v>0</v>
      </c>
      <c r="O40" s="13">
        <f t="shared" si="2"/>
        <v>0</v>
      </c>
      <c r="P40" s="13">
        <f t="shared" si="3"/>
        <v>1</v>
      </c>
      <c r="Q40" s="13">
        <f t="shared" si="4"/>
        <v>0.5</v>
      </c>
      <c r="R40" s="18">
        <v>0</v>
      </c>
      <c r="S40" s="18">
        <v>0</v>
      </c>
      <c r="T40" s="18">
        <v>1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20">
        <f t="shared" si="5"/>
        <v>1</v>
      </c>
      <c r="AF40" s="13">
        <v>600</v>
      </c>
      <c r="AH40" s="16" t="s">
        <v>477</v>
      </c>
      <c r="AK40" s="13" t="s">
        <v>91</v>
      </c>
      <c r="AL40" s="14" t="s">
        <v>46</v>
      </c>
      <c r="AM40" s="15" t="s">
        <v>200</v>
      </c>
    </row>
    <row r="41" spans="1:39">
      <c r="A41" s="1">
        <v>39</v>
      </c>
      <c r="B41" s="16" t="s">
        <v>89</v>
      </c>
      <c r="C41" s="13" t="s">
        <v>24</v>
      </c>
      <c r="D41" s="14">
        <v>2008</v>
      </c>
      <c r="E41" s="21">
        <v>8.3000000000000007</v>
      </c>
      <c r="F41" s="15">
        <v>2</v>
      </c>
      <c r="G41" s="16" t="s">
        <v>234</v>
      </c>
      <c r="H41" s="14" t="s">
        <v>372</v>
      </c>
      <c r="I41" s="13">
        <v>5</v>
      </c>
      <c r="J41" s="13" t="s">
        <v>29</v>
      </c>
      <c r="L41" s="16">
        <v>1</v>
      </c>
      <c r="M41" s="13">
        <f t="shared" si="1"/>
        <v>0.5</v>
      </c>
      <c r="N41" s="13">
        <v>0</v>
      </c>
      <c r="O41" s="13">
        <f t="shared" si="2"/>
        <v>0</v>
      </c>
      <c r="P41" s="13">
        <f t="shared" si="3"/>
        <v>1</v>
      </c>
      <c r="Q41" s="13">
        <f t="shared" si="4"/>
        <v>0.5</v>
      </c>
      <c r="R41" s="18">
        <v>0</v>
      </c>
      <c r="S41" s="18">
        <v>0</v>
      </c>
      <c r="T41" s="18">
        <v>0</v>
      </c>
      <c r="U41" s="18">
        <v>0</v>
      </c>
      <c r="V41" s="18">
        <v>1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20">
        <f t="shared" si="5"/>
        <v>1</v>
      </c>
      <c r="AF41" s="13">
        <v>600</v>
      </c>
      <c r="AH41" s="16" t="s">
        <v>477</v>
      </c>
      <c r="AK41" s="13" t="s">
        <v>91</v>
      </c>
      <c r="AL41" s="14" t="s">
        <v>46</v>
      </c>
      <c r="AM41" s="15" t="s">
        <v>200</v>
      </c>
    </row>
    <row r="42" spans="1:39">
      <c r="A42" s="1">
        <v>40</v>
      </c>
      <c r="B42" s="16" t="s">
        <v>89</v>
      </c>
      <c r="C42" s="13" t="s">
        <v>24</v>
      </c>
      <c r="D42" s="14">
        <v>2008</v>
      </c>
      <c r="E42" s="21">
        <v>8.3000000000000007</v>
      </c>
      <c r="F42" s="15">
        <v>2</v>
      </c>
      <c r="G42" s="16" t="s">
        <v>234</v>
      </c>
      <c r="H42" s="14" t="s">
        <v>372</v>
      </c>
      <c r="I42" s="13">
        <v>5</v>
      </c>
      <c r="J42" s="13" t="s">
        <v>29</v>
      </c>
      <c r="L42" s="16">
        <v>1</v>
      </c>
      <c r="M42" s="13">
        <f t="shared" si="1"/>
        <v>0.5</v>
      </c>
      <c r="N42" s="13">
        <v>0</v>
      </c>
      <c r="O42" s="13">
        <f t="shared" si="2"/>
        <v>0</v>
      </c>
      <c r="P42" s="13">
        <f t="shared" si="3"/>
        <v>1</v>
      </c>
      <c r="Q42" s="13">
        <f t="shared" si="4"/>
        <v>0.5</v>
      </c>
      <c r="AD42" s="20">
        <f t="shared" si="5"/>
        <v>0</v>
      </c>
      <c r="AE42" s="13" t="s">
        <v>197</v>
      </c>
      <c r="AF42" s="13">
        <v>1852</v>
      </c>
      <c r="AH42" s="16" t="s">
        <v>477</v>
      </c>
      <c r="AK42" s="13" t="s">
        <v>91</v>
      </c>
      <c r="AL42" s="14" t="s">
        <v>46</v>
      </c>
      <c r="AM42" s="15" t="s">
        <v>200</v>
      </c>
    </row>
    <row r="43" spans="1:39">
      <c r="A43" s="1">
        <v>41</v>
      </c>
      <c r="B43" s="16" t="s">
        <v>89</v>
      </c>
      <c r="C43" s="13" t="s">
        <v>24</v>
      </c>
      <c r="D43" s="14">
        <v>2008</v>
      </c>
      <c r="E43" s="21">
        <v>9.08</v>
      </c>
      <c r="F43" s="15">
        <v>2</v>
      </c>
      <c r="G43" s="16" t="s">
        <v>235</v>
      </c>
      <c r="H43" s="14" t="s">
        <v>373</v>
      </c>
      <c r="I43" s="13">
        <v>8</v>
      </c>
      <c r="J43" s="13" t="s">
        <v>29</v>
      </c>
      <c r="L43" s="16">
        <v>1</v>
      </c>
      <c r="M43" s="13">
        <f t="shared" si="1"/>
        <v>0.5</v>
      </c>
      <c r="N43" s="13">
        <v>1</v>
      </c>
      <c r="O43" s="13">
        <f t="shared" si="2"/>
        <v>0.5</v>
      </c>
      <c r="P43" s="13">
        <f t="shared" si="3"/>
        <v>2</v>
      </c>
      <c r="Q43" s="13">
        <f t="shared" si="4"/>
        <v>1</v>
      </c>
      <c r="AD43" s="20">
        <f t="shared" si="5"/>
        <v>0</v>
      </c>
      <c r="AE43" s="13" t="s">
        <v>57</v>
      </c>
      <c r="AF43" s="13">
        <v>400</v>
      </c>
      <c r="AH43" s="16" t="s">
        <v>477</v>
      </c>
      <c r="AK43" s="13" t="s">
        <v>91</v>
      </c>
      <c r="AL43" s="14" t="s">
        <v>46</v>
      </c>
      <c r="AM43" s="15" t="s">
        <v>200</v>
      </c>
    </row>
    <row r="44" spans="1:39">
      <c r="A44" s="1">
        <v>42</v>
      </c>
      <c r="B44" s="16" t="s">
        <v>89</v>
      </c>
      <c r="C44" s="13" t="s">
        <v>24</v>
      </c>
      <c r="D44" s="14">
        <v>2008</v>
      </c>
      <c r="E44" s="21">
        <v>9.4</v>
      </c>
      <c r="F44" s="15">
        <v>2</v>
      </c>
      <c r="G44" s="16" t="s">
        <v>236</v>
      </c>
      <c r="H44" s="14" t="s">
        <v>374</v>
      </c>
      <c r="I44" s="13">
        <v>11</v>
      </c>
      <c r="J44" s="13" t="s">
        <v>29</v>
      </c>
      <c r="L44" s="16">
        <v>2</v>
      </c>
      <c r="M44" s="13">
        <f t="shared" si="1"/>
        <v>1</v>
      </c>
      <c r="N44" s="13">
        <v>0</v>
      </c>
      <c r="O44" s="13">
        <f t="shared" si="2"/>
        <v>0</v>
      </c>
      <c r="P44" s="13">
        <f t="shared" si="3"/>
        <v>2</v>
      </c>
      <c r="Q44" s="13">
        <f t="shared" si="4"/>
        <v>1</v>
      </c>
      <c r="AD44" s="20">
        <f t="shared" si="5"/>
        <v>0</v>
      </c>
      <c r="AE44" s="13" t="s">
        <v>197</v>
      </c>
      <c r="AF44" s="13">
        <v>1852</v>
      </c>
      <c r="AH44" s="16" t="s">
        <v>477</v>
      </c>
      <c r="AK44" s="13" t="s">
        <v>91</v>
      </c>
      <c r="AL44" s="14" t="s">
        <v>46</v>
      </c>
      <c r="AM44" s="15" t="s">
        <v>200</v>
      </c>
    </row>
    <row r="45" spans="1:39">
      <c r="A45" s="1">
        <v>43</v>
      </c>
      <c r="B45" s="16" t="s">
        <v>89</v>
      </c>
      <c r="C45" s="13" t="s">
        <v>24</v>
      </c>
      <c r="D45" s="14">
        <v>2008</v>
      </c>
      <c r="E45" s="21">
        <v>9.41</v>
      </c>
      <c r="F45" s="15">
        <v>2</v>
      </c>
      <c r="G45" s="16" t="s">
        <v>237</v>
      </c>
      <c r="H45" s="14" t="s">
        <v>375</v>
      </c>
      <c r="I45" s="13">
        <v>11</v>
      </c>
      <c r="J45" s="13" t="s">
        <v>29</v>
      </c>
      <c r="L45" s="16">
        <v>1</v>
      </c>
      <c r="M45" s="13">
        <f t="shared" si="1"/>
        <v>0.5</v>
      </c>
      <c r="N45" s="13">
        <v>0</v>
      </c>
      <c r="O45" s="13">
        <f t="shared" si="2"/>
        <v>0</v>
      </c>
      <c r="P45" s="13">
        <f t="shared" si="3"/>
        <v>1</v>
      </c>
      <c r="Q45" s="13">
        <f t="shared" si="4"/>
        <v>0.5</v>
      </c>
      <c r="AD45" s="20">
        <f t="shared" si="5"/>
        <v>0</v>
      </c>
      <c r="AH45" s="16" t="s">
        <v>477</v>
      </c>
      <c r="AK45" s="13" t="s">
        <v>91</v>
      </c>
      <c r="AL45" s="14" t="s">
        <v>46</v>
      </c>
      <c r="AM45" s="15" t="s">
        <v>200</v>
      </c>
    </row>
    <row r="46" spans="1:39">
      <c r="A46" s="1">
        <v>44</v>
      </c>
      <c r="B46" s="16" t="s">
        <v>89</v>
      </c>
      <c r="C46" s="13" t="s">
        <v>24</v>
      </c>
      <c r="D46" s="14">
        <v>2008</v>
      </c>
      <c r="E46" s="21">
        <v>10.48</v>
      </c>
      <c r="F46" s="15">
        <v>2</v>
      </c>
      <c r="G46" s="16" t="s">
        <v>238</v>
      </c>
      <c r="H46" s="14" t="s">
        <v>376</v>
      </c>
      <c r="I46" s="13">
        <v>4</v>
      </c>
      <c r="J46" s="13" t="s">
        <v>29</v>
      </c>
      <c r="K46" s="13" t="s">
        <v>92</v>
      </c>
      <c r="L46" s="16">
        <v>1</v>
      </c>
      <c r="M46" s="13">
        <f t="shared" si="1"/>
        <v>0.5</v>
      </c>
      <c r="N46" s="13">
        <v>0</v>
      </c>
      <c r="O46" s="13">
        <f t="shared" si="2"/>
        <v>0</v>
      </c>
      <c r="P46" s="13">
        <f t="shared" si="3"/>
        <v>1</v>
      </c>
      <c r="Q46" s="13">
        <f t="shared" si="4"/>
        <v>0.5</v>
      </c>
      <c r="AD46" s="20">
        <f t="shared" si="5"/>
        <v>0</v>
      </c>
      <c r="AH46" s="16" t="s">
        <v>477</v>
      </c>
      <c r="AK46" s="13" t="s">
        <v>91</v>
      </c>
      <c r="AL46" s="14" t="s">
        <v>46</v>
      </c>
      <c r="AM46" s="15" t="s">
        <v>200</v>
      </c>
    </row>
    <row r="47" spans="1:39">
      <c r="A47" s="1">
        <v>45</v>
      </c>
      <c r="B47" s="16" t="s">
        <v>89</v>
      </c>
      <c r="C47" s="13" t="s">
        <v>24</v>
      </c>
      <c r="D47" s="14">
        <v>2008</v>
      </c>
      <c r="E47" s="21">
        <v>11.07</v>
      </c>
      <c r="F47" s="15">
        <v>2</v>
      </c>
      <c r="G47" s="16" t="s">
        <v>239</v>
      </c>
      <c r="H47" s="14" t="s">
        <v>377</v>
      </c>
      <c r="I47" s="13">
        <v>4</v>
      </c>
      <c r="J47" s="13" t="s">
        <v>29</v>
      </c>
      <c r="L47" s="16">
        <v>1</v>
      </c>
      <c r="M47" s="13">
        <f t="shared" si="1"/>
        <v>0.5</v>
      </c>
      <c r="N47" s="13">
        <v>0</v>
      </c>
      <c r="O47" s="13">
        <f t="shared" si="2"/>
        <v>0</v>
      </c>
      <c r="P47" s="13">
        <f t="shared" si="3"/>
        <v>1</v>
      </c>
      <c r="Q47" s="13">
        <f t="shared" si="4"/>
        <v>0.5</v>
      </c>
      <c r="AD47" s="20">
        <f t="shared" si="5"/>
        <v>0</v>
      </c>
      <c r="AE47" s="13" t="s">
        <v>57</v>
      </c>
      <c r="AH47" s="16" t="s">
        <v>477</v>
      </c>
      <c r="AK47" s="13" t="s">
        <v>91</v>
      </c>
      <c r="AL47" s="14" t="s">
        <v>46</v>
      </c>
      <c r="AM47" s="15" t="s">
        <v>200</v>
      </c>
    </row>
    <row r="48" spans="1:39">
      <c r="A48" s="1">
        <v>46</v>
      </c>
      <c r="B48" s="16" t="s">
        <v>89</v>
      </c>
      <c r="C48" s="13" t="s">
        <v>24</v>
      </c>
      <c r="D48" s="14">
        <v>2008</v>
      </c>
      <c r="E48" s="21">
        <v>11.15</v>
      </c>
      <c r="F48" s="15">
        <v>2</v>
      </c>
      <c r="G48" s="16" t="s">
        <v>240</v>
      </c>
      <c r="H48" s="14" t="s">
        <v>378</v>
      </c>
      <c r="I48" s="13">
        <v>4</v>
      </c>
      <c r="K48" s="13" t="s">
        <v>93</v>
      </c>
      <c r="L48" s="16">
        <v>0</v>
      </c>
      <c r="M48" s="13">
        <f t="shared" si="1"/>
        <v>0</v>
      </c>
      <c r="N48" s="13">
        <v>0</v>
      </c>
      <c r="O48" s="13">
        <f t="shared" si="2"/>
        <v>0</v>
      </c>
      <c r="P48" s="13">
        <f t="shared" si="3"/>
        <v>0</v>
      </c>
      <c r="Q48" s="13">
        <f t="shared" si="4"/>
        <v>0</v>
      </c>
      <c r="AD48" s="20">
        <f t="shared" si="5"/>
        <v>0</v>
      </c>
      <c r="AH48" s="16" t="s">
        <v>94</v>
      </c>
      <c r="AK48" s="13" t="s">
        <v>96</v>
      </c>
      <c r="AL48" s="14" t="s">
        <v>46</v>
      </c>
      <c r="AM48" s="15" t="s">
        <v>95</v>
      </c>
    </row>
    <row r="49" spans="1:39">
      <c r="A49" s="1">
        <v>47</v>
      </c>
      <c r="B49" s="16" t="s">
        <v>89</v>
      </c>
      <c r="C49" s="13" t="s">
        <v>24</v>
      </c>
      <c r="D49" s="14">
        <v>2008</v>
      </c>
      <c r="E49" s="21">
        <v>11.24</v>
      </c>
      <c r="F49" s="15">
        <v>2</v>
      </c>
      <c r="G49" s="16" t="s">
        <v>241</v>
      </c>
      <c r="H49" s="14" t="s">
        <v>379</v>
      </c>
      <c r="I49" s="13">
        <v>11</v>
      </c>
      <c r="J49" s="13" t="s">
        <v>29</v>
      </c>
      <c r="L49" s="16">
        <v>1</v>
      </c>
      <c r="M49" s="13">
        <f t="shared" si="1"/>
        <v>0.5</v>
      </c>
      <c r="N49" s="13">
        <v>0</v>
      </c>
      <c r="O49" s="13">
        <f t="shared" si="2"/>
        <v>0</v>
      </c>
      <c r="P49" s="13">
        <f t="shared" si="3"/>
        <v>1</v>
      </c>
      <c r="Q49" s="13">
        <f t="shared" si="4"/>
        <v>0.5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1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20">
        <f t="shared" si="5"/>
        <v>1</v>
      </c>
      <c r="AE49" s="13" t="s">
        <v>72</v>
      </c>
      <c r="AF49" s="13">
        <v>1852</v>
      </c>
      <c r="AH49" s="16" t="s">
        <v>94</v>
      </c>
      <c r="AI49" s="13">
        <v>10.8</v>
      </c>
      <c r="AJ49" s="13" t="s">
        <v>97</v>
      </c>
      <c r="AK49" s="13" t="s">
        <v>96</v>
      </c>
      <c r="AL49" s="14" t="s">
        <v>46</v>
      </c>
      <c r="AM49" s="15" t="s">
        <v>98</v>
      </c>
    </row>
    <row r="50" spans="1:39">
      <c r="A50" s="1">
        <v>48</v>
      </c>
      <c r="B50" s="16" t="s">
        <v>89</v>
      </c>
      <c r="C50" s="13" t="s">
        <v>24</v>
      </c>
      <c r="D50" s="14">
        <v>2008</v>
      </c>
      <c r="E50" s="21">
        <v>11.3</v>
      </c>
      <c r="F50" s="15">
        <v>2</v>
      </c>
      <c r="G50" s="16" t="s">
        <v>242</v>
      </c>
      <c r="H50" s="14" t="s">
        <v>380</v>
      </c>
      <c r="I50" s="13">
        <v>5</v>
      </c>
      <c r="J50" s="13" t="s">
        <v>29</v>
      </c>
      <c r="L50" s="16">
        <v>1</v>
      </c>
      <c r="M50" s="13">
        <f t="shared" si="1"/>
        <v>0.5</v>
      </c>
      <c r="N50" s="13">
        <v>1</v>
      </c>
      <c r="O50" s="13">
        <f t="shared" si="2"/>
        <v>0.5</v>
      </c>
      <c r="P50" s="13">
        <f t="shared" si="3"/>
        <v>2</v>
      </c>
      <c r="Q50" s="13">
        <f t="shared" si="4"/>
        <v>1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2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20">
        <f t="shared" si="5"/>
        <v>2</v>
      </c>
      <c r="AH50" s="16" t="s">
        <v>94</v>
      </c>
      <c r="AI50" s="13">
        <v>11.7</v>
      </c>
      <c r="AJ50" s="13" t="s">
        <v>74</v>
      </c>
      <c r="AK50" s="13" t="s">
        <v>96</v>
      </c>
      <c r="AL50" s="14" t="s">
        <v>46</v>
      </c>
      <c r="AM50" s="15" t="s">
        <v>98</v>
      </c>
    </row>
    <row r="51" spans="1:39">
      <c r="A51" s="1">
        <v>49</v>
      </c>
      <c r="B51" s="16" t="s">
        <v>89</v>
      </c>
      <c r="C51" s="13" t="s">
        <v>24</v>
      </c>
      <c r="D51" s="14">
        <v>2008</v>
      </c>
      <c r="E51" s="21">
        <v>12.1</v>
      </c>
      <c r="F51" s="15">
        <v>2</v>
      </c>
      <c r="G51" s="16" t="s">
        <v>99</v>
      </c>
      <c r="H51" s="14" t="s">
        <v>100</v>
      </c>
      <c r="I51" s="13">
        <v>23</v>
      </c>
      <c r="J51" s="13" t="s">
        <v>29</v>
      </c>
      <c r="L51" s="16">
        <v>1</v>
      </c>
      <c r="M51" s="13">
        <f t="shared" si="1"/>
        <v>0.5</v>
      </c>
      <c r="N51" s="13">
        <v>0</v>
      </c>
      <c r="O51" s="13">
        <f t="shared" si="2"/>
        <v>0</v>
      </c>
      <c r="P51" s="13">
        <f t="shared" si="3"/>
        <v>1</v>
      </c>
      <c r="Q51" s="13">
        <f t="shared" si="4"/>
        <v>0.5</v>
      </c>
      <c r="R51" s="18">
        <v>0</v>
      </c>
      <c r="S51" s="18">
        <v>0</v>
      </c>
      <c r="T51" s="18">
        <v>0</v>
      </c>
      <c r="U51" s="18">
        <v>0</v>
      </c>
      <c r="V51" s="18">
        <v>1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20">
        <f t="shared" si="5"/>
        <v>1</v>
      </c>
      <c r="AH51" s="16" t="s">
        <v>94</v>
      </c>
      <c r="AK51" s="13" t="s">
        <v>96</v>
      </c>
      <c r="AL51" s="14" t="s">
        <v>46</v>
      </c>
      <c r="AM51" s="15" t="s">
        <v>98</v>
      </c>
    </row>
    <row r="52" spans="1:39">
      <c r="A52" s="1">
        <v>50</v>
      </c>
      <c r="B52" s="16" t="s">
        <v>89</v>
      </c>
      <c r="C52" s="13" t="s">
        <v>24</v>
      </c>
      <c r="D52" s="14">
        <v>2008</v>
      </c>
      <c r="E52" s="21">
        <v>12.45</v>
      </c>
      <c r="F52" s="15">
        <v>2</v>
      </c>
      <c r="G52" s="16" t="s">
        <v>243</v>
      </c>
      <c r="H52" s="14" t="s">
        <v>381</v>
      </c>
      <c r="I52" s="13">
        <v>25</v>
      </c>
      <c r="J52" s="13" t="s">
        <v>29</v>
      </c>
      <c r="L52" s="16">
        <v>1</v>
      </c>
      <c r="M52" s="13">
        <f t="shared" si="1"/>
        <v>0.5</v>
      </c>
      <c r="N52" s="13">
        <v>0</v>
      </c>
      <c r="O52" s="13">
        <f t="shared" si="2"/>
        <v>0</v>
      </c>
      <c r="P52" s="13">
        <f t="shared" si="3"/>
        <v>1</v>
      </c>
      <c r="Q52" s="13">
        <f t="shared" si="4"/>
        <v>0.5</v>
      </c>
      <c r="AD52" s="20">
        <f t="shared" si="5"/>
        <v>0</v>
      </c>
      <c r="AH52" s="16" t="s">
        <v>94</v>
      </c>
      <c r="AK52" s="13" t="s">
        <v>96</v>
      </c>
      <c r="AL52" s="14" t="s">
        <v>46</v>
      </c>
      <c r="AM52" s="15" t="s">
        <v>101</v>
      </c>
    </row>
    <row r="53" spans="1:39">
      <c r="A53" s="1">
        <v>51</v>
      </c>
      <c r="B53" s="16" t="s">
        <v>89</v>
      </c>
      <c r="C53" s="13" t="s">
        <v>24</v>
      </c>
      <c r="D53" s="14">
        <v>2008</v>
      </c>
      <c r="E53" s="21">
        <v>12.49</v>
      </c>
      <c r="F53" s="15">
        <v>2</v>
      </c>
      <c r="G53" s="16" t="s">
        <v>244</v>
      </c>
      <c r="H53" s="14" t="s">
        <v>382</v>
      </c>
      <c r="I53" s="13">
        <v>25</v>
      </c>
      <c r="J53" s="13" t="s">
        <v>29</v>
      </c>
      <c r="L53" s="16">
        <v>1</v>
      </c>
      <c r="M53" s="13">
        <f t="shared" si="1"/>
        <v>0.5</v>
      </c>
      <c r="N53" s="13">
        <v>1</v>
      </c>
      <c r="O53" s="13">
        <f t="shared" si="2"/>
        <v>0.5</v>
      </c>
      <c r="P53" s="13">
        <f t="shared" si="3"/>
        <v>2</v>
      </c>
      <c r="Q53" s="13">
        <f t="shared" si="4"/>
        <v>1</v>
      </c>
      <c r="AD53" s="20">
        <f t="shared" si="5"/>
        <v>0</v>
      </c>
      <c r="AE53" s="13" t="s">
        <v>102</v>
      </c>
      <c r="AF53" s="13">
        <v>1852</v>
      </c>
      <c r="AH53" s="16" t="s">
        <v>94</v>
      </c>
      <c r="AI53" s="13">
        <v>8.1999999999999993</v>
      </c>
      <c r="AJ53" s="13" t="s">
        <v>103</v>
      </c>
      <c r="AK53" s="13" t="s">
        <v>96</v>
      </c>
      <c r="AL53" s="14" t="s">
        <v>46</v>
      </c>
      <c r="AM53" s="15" t="s">
        <v>98</v>
      </c>
    </row>
    <row r="54" spans="1:39">
      <c r="A54" s="1">
        <v>52</v>
      </c>
      <c r="B54" s="16" t="s">
        <v>89</v>
      </c>
      <c r="C54" s="13" t="s">
        <v>24</v>
      </c>
      <c r="D54" s="14">
        <v>2008</v>
      </c>
      <c r="E54" s="21">
        <v>13.16</v>
      </c>
      <c r="F54" s="15">
        <v>2</v>
      </c>
      <c r="G54" s="16" t="s">
        <v>245</v>
      </c>
      <c r="H54" s="14" t="s">
        <v>383</v>
      </c>
      <c r="I54" s="13">
        <v>27</v>
      </c>
      <c r="J54" s="13" t="s">
        <v>29</v>
      </c>
      <c r="L54" s="16">
        <v>1</v>
      </c>
      <c r="M54" s="13">
        <f t="shared" si="1"/>
        <v>0.5</v>
      </c>
      <c r="N54" s="13">
        <v>1</v>
      </c>
      <c r="O54" s="13">
        <f t="shared" si="2"/>
        <v>0.5</v>
      </c>
      <c r="P54" s="13">
        <f t="shared" si="3"/>
        <v>2</v>
      </c>
      <c r="Q54" s="13">
        <f t="shared" si="4"/>
        <v>1</v>
      </c>
      <c r="AD54" s="20">
        <f t="shared" si="5"/>
        <v>0</v>
      </c>
      <c r="AE54" s="13" t="s">
        <v>156</v>
      </c>
      <c r="AF54" s="13">
        <v>800</v>
      </c>
      <c r="AH54" s="16" t="s">
        <v>94</v>
      </c>
      <c r="AI54" s="13">
        <v>9.1999999999999993</v>
      </c>
      <c r="AJ54" s="13" t="s">
        <v>103</v>
      </c>
      <c r="AK54" s="13" t="s">
        <v>96</v>
      </c>
      <c r="AL54" s="14" t="s">
        <v>46</v>
      </c>
      <c r="AM54" s="15" t="s">
        <v>98</v>
      </c>
    </row>
    <row r="55" spans="1:39">
      <c r="A55" s="1">
        <v>53</v>
      </c>
      <c r="B55" s="16" t="s">
        <v>89</v>
      </c>
      <c r="C55" s="13" t="s">
        <v>24</v>
      </c>
      <c r="D55" s="14">
        <v>2008</v>
      </c>
      <c r="E55" s="21">
        <v>13.56</v>
      </c>
      <c r="F55" s="15">
        <v>2</v>
      </c>
      <c r="G55" s="16" t="s">
        <v>104</v>
      </c>
      <c r="H55" s="14" t="s">
        <v>105</v>
      </c>
      <c r="I55" s="13">
        <v>28</v>
      </c>
      <c r="J55" s="13" t="s">
        <v>29</v>
      </c>
      <c r="L55" s="16">
        <v>2</v>
      </c>
      <c r="M55" s="13">
        <f t="shared" si="1"/>
        <v>1</v>
      </c>
      <c r="N55" s="13">
        <v>0</v>
      </c>
      <c r="O55" s="13">
        <f t="shared" si="2"/>
        <v>0</v>
      </c>
      <c r="P55" s="13">
        <f t="shared" si="3"/>
        <v>2</v>
      </c>
      <c r="Q55" s="13">
        <f t="shared" si="4"/>
        <v>1</v>
      </c>
      <c r="R55" s="18">
        <v>2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20">
        <f t="shared" si="5"/>
        <v>2</v>
      </c>
      <c r="AF55" s="13">
        <v>200</v>
      </c>
      <c r="AH55" s="16" t="s">
        <v>94</v>
      </c>
      <c r="AK55" s="13" t="s">
        <v>96</v>
      </c>
      <c r="AL55" s="14" t="s">
        <v>46</v>
      </c>
      <c r="AM55" s="15" t="s">
        <v>98</v>
      </c>
    </row>
    <row r="56" spans="1:39">
      <c r="A56" s="1">
        <v>54</v>
      </c>
      <c r="B56" s="16" t="s">
        <v>106</v>
      </c>
      <c r="C56" s="13" t="s">
        <v>24</v>
      </c>
      <c r="D56" s="14">
        <v>2008</v>
      </c>
      <c r="E56" s="21">
        <v>6.31</v>
      </c>
      <c r="F56" s="15">
        <v>2</v>
      </c>
      <c r="G56" s="16" t="s">
        <v>246</v>
      </c>
      <c r="H56" s="14" t="s">
        <v>384</v>
      </c>
      <c r="I56" s="13">
        <v>29</v>
      </c>
      <c r="J56" s="13" t="s">
        <v>29</v>
      </c>
      <c r="L56" s="16">
        <v>1</v>
      </c>
      <c r="M56" s="13">
        <f t="shared" si="1"/>
        <v>0.5</v>
      </c>
      <c r="N56" s="13">
        <v>0</v>
      </c>
      <c r="O56" s="13">
        <f t="shared" si="2"/>
        <v>0</v>
      </c>
      <c r="P56" s="13">
        <f t="shared" si="3"/>
        <v>1</v>
      </c>
      <c r="Q56" s="13">
        <f t="shared" si="4"/>
        <v>0.5</v>
      </c>
      <c r="AD56" s="20">
        <f t="shared" si="5"/>
        <v>0</v>
      </c>
      <c r="AH56" s="16" t="s">
        <v>109</v>
      </c>
      <c r="AK56" s="13" t="s">
        <v>110</v>
      </c>
      <c r="AL56" s="14" t="s">
        <v>111</v>
      </c>
    </row>
    <row r="57" spans="1:39">
      <c r="A57" s="1">
        <v>55</v>
      </c>
      <c r="B57" s="16" t="s">
        <v>106</v>
      </c>
      <c r="C57" s="13" t="s">
        <v>24</v>
      </c>
      <c r="D57" s="14">
        <v>2008</v>
      </c>
      <c r="E57" s="21">
        <v>7.05</v>
      </c>
      <c r="F57" s="15">
        <v>2</v>
      </c>
      <c r="G57" s="16" t="s">
        <v>247</v>
      </c>
      <c r="H57" s="14" t="s">
        <v>385</v>
      </c>
      <c r="I57" s="13">
        <v>27</v>
      </c>
      <c r="J57" s="13" t="s">
        <v>29</v>
      </c>
      <c r="L57" s="16">
        <v>1</v>
      </c>
      <c r="M57" s="13">
        <f t="shared" si="1"/>
        <v>0.5</v>
      </c>
      <c r="N57" s="13">
        <v>1</v>
      </c>
      <c r="O57" s="13">
        <f t="shared" si="2"/>
        <v>0.5</v>
      </c>
      <c r="P57" s="13">
        <f t="shared" si="3"/>
        <v>2</v>
      </c>
      <c r="Q57" s="13">
        <f t="shared" si="4"/>
        <v>1</v>
      </c>
      <c r="R57" s="18">
        <v>0</v>
      </c>
      <c r="S57" s="18">
        <v>0</v>
      </c>
      <c r="T57" s="18">
        <v>2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20">
        <f t="shared" si="5"/>
        <v>2</v>
      </c>
      <c r="AH57" s="16" t="s">
        <v>109</v>
      </c>
      <c r="AI57" s="13">
        <v>9.3000000000000007</v>
      </c>
      <c r="AJ57" s="13" t="s">
        <v>112</v>
      </c>
      <c r="AK57" s="13" t="s">
        <v>110</v>
      </c>
      <c r="AL57" s="14" t="s">
        <v>111</v>
      </c>
    </row>
    <row r="58" spans="1:39">
      <c r="A58" s="1">
        <v>56</v>
      </c>
      <c r="B58" s="16" t="s">
        <v>106</v>
      </c>
      <c r="C58" s="13" t="s">
        <v>24</v>
      </c>
      <c r="D58" s="14">
        <v>2008</v>
      </c>
      <c r="E58" s="21">
        <v>7.3</v>
      </c>
      <c r="F58" s="15">
        <v>2</v>
      </c>
      <c r="G58" s="16" t="s">
        <v>248</v>
      </c>
      <c r="H58" s="14" t="s">
        <v>386</v>
      </c>
      <c r="I58" s="13">
        <v>23</v>
      </c>
      <c r="J58" s="13" t="s">
        <v>29</v>
      </c>
      <c r="L58" s="16">
        <v>1</v>
      </c>
      <c r="M58" s="13">
        <f t="shared" si="1"/>
        <v>0.5</v>
      </c>
      <c r="N58" s="13">
        <v>1</v>
      </c>
      <c r="O58" s="13">
        <f t="shared" si="2"/>
        <v>0.5</v>
      </c>
      <c r="P58" s="13">
        <f t="shared" si="3"/>
        <v>2</v>
      </c>
      <c r="Q58" s="13">
        <f t="shared" si="4"/>
        <v>1</v>
      </c>
      <c r="AD58" s="20">
        <f t="shared" si="5"/>
        <v>0</v>
      </c>
      <c r="AE58" s="13" t="s">
        <v>156</v>
      </c>
      <c r="AF58" s="13">
        <v>400</v>
      </c>
      <c r="AH58" s="16" t="s">
        <v>109</v>
      </c>
      <c r="AI58" s="13">
        <v>9.8000000000000007</v>
      </c>
      <c r="AJ58" s="13" t="s">
        <v>112</v>
      </c>
      <c r="AK58" s="13" t="s">
        <v>110</v>
      </c>
      <c r="AL58" s="14" t="s">
        <v>111</v>
      </c>
    </row>
    <row r="59" spans="1:39">
      <c r="A59" s="1">
        <v>57</v>
      </c>
      <c r="B59" s="16" t="s">
        <v>106</v>
      </c>
      <c r="C59" s="13" t="s">
        <v>24</v>
      </c>
      <c r="D59" s="14">
        <v>2008</v>
      </c>
      <c r="E59" s="21">
        <v>8.2799999999999994</v>
      </c>
      <c r="F59" s="15">
        <v>2</v>
      </c>
      <c r="G59" s="16" t="s">
        <v>249</v>
      </c>
      <c r="H59" s="14" t="s">
        <v>387</v>
      </c>
      <c r="I59" s="13">
        <v>18</v>
      </c>
      <c r="J59" s="13" t="s">
        <v>29</v>
      </c>
      <c r="L59" s="16">
        <v>1</v>
      </c>
      <c r="M59" s="13">
        <f t="shared" si="1"/>
        <v>0.5</v>
      </c>
      <c r="N59" s="13">
        <v>0</v>
      </c>
      <c r="O59" s="13">
        <f t="shared" si="2"/>
        <v>0</v>
      </c>
      <c r="P59" s="13">
        <f t="shared" si="3"/>
        <v>1</v>
      </c>
      <c r="Q59" s="13">
        <f t="shared" si="4"/>
        <v>0.5</v>
      </c>
      <c r="AD59" s="20">
        <f t="shared" si="5"/>
        <v>0</v>
      </c>
      <c r="AE59" s="13" t="s">
        <v>197</v>
      </c>
      <c r="AF59" s="13">
        <v>1852</v>
      </c>
      <c r="AH59" s="16" t="s">
        <v>109</v>
      </c>
      <c r="AI59" s="13">
        <v>0</v>
      </c>
      <c r="AJ59" s="13" t="s">
        <v>113</v>
      </c>
      <c r="AK59" s="13" t="s">
        <v>110</v>
      </c>
      <c r="AL59" s="14" t="s">
        <v>111</v>
      </c>
    </row>
    <row r="60" spans="1:39">
      <c r="A60" s="1">
        <v>58</v>
      </c>
      <c r="B60" s="16" t="s">
        <v>106</v>
      </c>
      <c r="C60" s="13" t="s">
        <v>24</v>
      </c>
      <c r="D60" s="14">
        <v>2008</v>
      </c>
      <c r="E60" s="21">
        <v>9.32</v>
      </c>
      <c r="F60" s="15">
        <v>2</v>
      </c>
      <c r="G60" s="16" t="s">
        <v>250</v>
      </c>
      <c r="H60" s="14" t="s">
        <v>388</v>
      </c>
      <c r="I60" s="13">
        <v>19</v>
      </c>
      <c r="J60" s="13" t="s">
        <v>29</v>
      </c>
      <c r="L60" s="16">
        <v>1</v>
      </c>
      <c r="M60" s="13">
        <f t="shared" si="1"/>
        <v>0.5</v>
      </c>
      <c r="N60" s="13">
        <v>1</v>
      </c>
      <c r="O60" s="13">
        <f t="shared" si="2"/>
        <v>0.5</v>
      </c>
      <c r="P60" s="13">
        <f t="shared" si="3"/>
        <v>2</v>
      </c>
      <c r="Q60" s="13">
        <f t="shared" si="4"/>
        <v>1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1</v>
      </c>
      <c r="AC60" s="18">
        <v>0</v>
      </c>
      <c r="AD60" s="20">
        <f t="shared" si="5"/>
        <v>1</v>
      </c>
      <c r="AE60" s="13" t="s">
        <v>156</v>
      </c>
      <c r="AF60" s="13">
        <v>1852</v>
      </c>
      <c r="AH60" s="16" t="s">
        <v>109</v>
      </c>
      <c r="AI60" s="13">
        <v>2.4</v>
      </c>
      <c r="AJ60" s="13" t="s">
        <v>52</v>
      </c>
      <c r="AK60" s="13" t="s">
        <v>110</v>
      </c>
      <c r="AL60" s="14" t="s">
        <v>111</v>
      </c>
    </row>
    <row r="61" spans="1:39">
      <c r="A61" s="1">
        <v>59</v>
      </c>
      <c r="B61" s="16" t="s">
        <v>106</v>
      </c>
      <c r="C61" s="13" t="s">
        <v>24</v>
      </c>
      <c r="D61" s="14">
        <v>2008</v>
      </c>
      <c r="E61" s="21">
        <v>10.26</v>
      </c>
      <c r="F61" s="15">
        <v>2</v>
      </c>
      <c r="G61" s="16" t="s">
        <v>251</v>
      </c>
      <c r="H61" s="14" t="s">
        <v>389</v>
      </c>
      <c r="I61" s="13">
        <v>16</v>
      </c>
      <c r="J61" s="13" t="s">
        <v>29</v>
      </c>
      <c r="L61" s="16">
        <v>1</v>
      </c>
      <c r="M61" s="13">
        <f t="shared" si="1"/>
        <v>0.5</v>
      </c>
      <c r="N61" s="13">
        <v>0</v>
      </c>
      <c r="O61" s="13">
        <f t="shared" si="2"/>
        <v>0</v>
      </c>
      <c r="P61" s="13">
        <f t="shared" si="3"/>
        <v>1</v>
      </c>
      <c r="Q61" s="13">
        <f t="shared" si="4"/>
        <v>0.5</v>
      </c>
      <c r="AD61" s="20">
        <f t="shared" si="5"/>
        <v>0</v>
      </c>
      <c r="AE61" s="13" t="s">
        <v>197</v>
      </c>
      <c r="AF61" s="13">
        <v>600</v>
      </c>
      <c r="AH61" s="16" t="s">
        <v>109</v>
      </c>
      <c r="AI61" s="13">
        <v>3.2</v>
      </c>
      <c r="AJ61" s="13" t="s">
        <v>114</v>
      </c>
      <c r="AK61" s="13" t="s">
        <v>110</v>
      </c>
      <c r="AL61" s="14" t="s">
        <v>111</v>
      </c>
      <c r="AM61" s="15" t="s">
        <v>115</v>
      </c>
    </row>
    <row r="62" spans="1:39">
      <c r="A62" s="1">
        <v>60</v>
      </c>
      <c r="B62" s="16" t="s">
        <v>106</v>
      </c>
      <c r="C62" s="13" t="s">
        <v>24</v>
      </c>
      <c r="D62" s="14">
        <v>2008</v>
      </c>
      <c r="E62" s="21">
        <v>12</v>
      </c>
      <c r="F62" s="15">
        <v>2</v>
      </c>
      <c r="K62" s="13" t="s">
        <v>116</v>
      </c>
      <c r="L62" s="16">
        <v>0</v>
      </c>
      <c r="M62" s="13">
        <f t="shared" si="1"/>
        <v>0</v>
      </c>
      <c r="N62" s="13">
        <v>0</v>
      </c>
      <c r="O62" s="13">
        <f t="shared" si="2"/>
        <v>0</v>
      </c>
      <c r="P62" s="13">
        <f t="shared" si="3"/>
        <v>0</v>
      </c>
      <c r="Q62" s="13">
        <f t="shared" si="4"/>
        <v>0</v>
      </c>
      <c r="AD62" s="20">
        <f t="shared" si="5"/>
        <v>0</v>
      </c>
      <c r="AE62" s="13" t="s">
        <v>197</v>
      </c>
      <c r="AF62" s="13">
        <v>500</v>
      </c>
      <c r="AH62" s="16" t="s">
        <v>109</v>
      </c>
      <c r="AK62" s="13" t="s">
        <v>110</v>
      </c>
      <c r="AL62" s="14" t="s">
        <v>111</v>
      </c>
      <c r="AM62" s="15" t="s">
        <v>84</v>
      </c>
    </row>
    <row r="63" spans="1:39">
      <c r="A63" s="1">
        <v>61</v>
      </c>
      <c r="B63" s="16" t="s">
        <v>106</v>
      </c>
      <c r="C63" s="13" t="s">
        <v>24</v>
      </c>
      <c r="D63" s="14">
        <v>2008</v>
      </c>
      <c r="E63" s="21">
        <v>13.12</v>
      </c>
      <c r="F63" s="15">
        <v>2</v>
      </c>
      <c r="G63" s="16" t="s">
        <v>252</v>
      </c>
      <c r="H63" s="14" t="s">
        <v>390</v>
      </c>
      <c r="I63" s="13">
        <v>19</v>
      </c>
      <c r="J63" s="13" t="s">
        <v>29</v>
      </c>
      <c r="L63" s="16">
        <v>1</v>
      </c>
      <c r="M63" s="13">
        <f t="shared" si="1"/>
        <v>0.5</v>
      </c>
      <c r="N63" s="13">
        <v>1</v>
      </c>
      <c r="O63" s="13">
        <f t="shared" si="2"/>
        <v>0.5</v>
      </c>
      <c r="P63" s="13">
        <f t="shared" si="3"/>
        <v>2</v>
      </c>
      <c r="Q63" s="13">
        <f t="shared" si="4"/>
        <v>1</v>
      </c>
      <c r="AD63" s="20">
        <f t="shared" si="5"/>
        <v>0</v>
      </c>
      <c r="AE63" s="13" t="s">
        <v>197</v>
      </c>
      <c r="AF63" s="13">
        <v>400</v>
      </c>
      <c r="AH63" s="16" t="s">
        <v>109</v>
      </c>
      <c r="AI63" s="13">
        <v>9.8000000000000007</v>
      </c>
      <c r="AJ63" s="13" t="s">
        <v>117</v>
      </c>
      <c r="AK63" s="13" t="s">
        <v>110</v>
      </c>
      <c r="AL63" s="14" t="s">
        <v>111</v>
      </c>
    </row>
    <row r="64" spans="1:39">
      <c r="A64" s="1">
        <v>62</v>
      </c>
      <c r="B64" s="16" t="s">
        <v>106</v>
      </c>
      <c r="C64" s="13" t="s">
        <v>24</v>
      </c>
      <c r="D64" s="14">
        <v>2008</v>
      </c>
      <c r="E64" s="21">
        <v>13.33</v>
      </c>
      <c r="F64" s="15">
        <v>2</v>
      </c>
      <c r="G64" s="16" t="s">
        <v>253</v>
      </c>
      <c r="H64" s="14" t="s">
        <v>391</v>
      </c>
      <c r="I64" s="13">
        <v>30</v>
      </c>
      <c r="J64" s="13" t="s">
        <v>29</v>
      </c>
      <c r="L64" s="16">
        <v>1</v>
      </c>
      <c r="M64" s="13">
        <f t="shared" si="1"/>
        <v>0.5</v>
      </c>
      <c r="N64" s="13">
        <v>1</v>
      </c>
      <c r="O64" s="13">
        <f t="shared" si="2"/>
        <v>0.5</v>
      </c>
      <c r="P64" s="13">
        <f t="shared" si="3"/>
        <v>2</v>
      </c>
      <c r="Q64" s="13">
        <f t="shared" si="4"/>
        <v>1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1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20">
        <f t="shared" si="5"/>
        <v>1</v>
      </c>
      <c r="AH64" s="16" t="s">
        <v>478</v>
      </c>
      <c r="AK64" s="13" t="s">
        <v>45</v>
      </c>
      <c r="AL64" s="14" t="s">
        <v>118</v>
      </c>
    </row>
    <row r="65" spans="1:39">
      <c r="A65" s="1">
        <v>63</v>
      </c>
      <c r="B65" s="16" t="s">
        <v>106</v>
      </c>
      <c r="C65" s="13" t="s">
        <v>24</v>
      </c>
      <c r="D65" s="14">
        <v>2008</v>
      </c>
      <c r="E65" s="21">
        <v>14.36</v>
      </c>
      <c r="F65" s="15">
        <v>2</v>
      </c>
      <c r="G65" s="16" t="s">
        <v>119</v>
      </c>
      <c r="H65" s="14" t="s">
        <v>392</v>
      </c>
      <c r="I65" s="13">
        <v>31</v>
      </c>
      <c r="J65" s="13" t="s">
        <v>29</v>
      </c>
      <c r="L65" s="16">
        <v>1</v>
      </c>
      <c r="M65" s="13">
        <f t="shared" si="1"/>
        <v>0.5</v>
      </c>
      <c r="N65" s="13">
        <v>1</v>
      </c>
      <c r="O65" s="13">
        <f t="shared" si="2"/>
        <v>0.5</v>
      </c>
      <c r="P65" s="13">
        <f t="shared" si="3"/>
        <v>2</v>
      </c>
      <c r="Q65" s="13">
        <f t="shared" si="4"/>
        <v>1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1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20">
        <f t="shared" si="5"/>
        <v>1</v>
      </c>
      <c r="AH65" s="16" t="s">
        <v>478</v>
      </c>
      <c r="AK65" s="13" t="s">
        <v>45</v>
      </c>
      <c r="AL65" s="14" t="s">
        <v>118</v>
      </c>
    </row>
    <row r="66" spans="1:39">
      <c r="A66" s="1">
        <v>64</v>
      </c>
      <c r="B66" s="16" t="s">
        <v>106</v>
      </c>
      <c r="C66" s="13" t="s">
        <v>24</v>
      </c>
      <c r="D66" s="14">
        <v>2008</v>
      </c>
      <c r="E66" s="21">
        <v>14.4</v>
      </c>
      <c r="F66" s="15">
        <v>2</v>
      </c>
      <c r="G66" s="16" t="s">
        <v>120</v>
      </c>
      <c r="H66" s="14" t="s">
        <v>121</v>
      </c>
      <c r="I66" s="13">
        <v>29</v>
      </c>
      <c r="J66" s="13" t="s">
        <v>29</v>
      </c>
      <c r="L66" s="16">
        <v>2</v>
      </c>
      <c r="M66" s="13">
        <f t="shared" si="1"/>
        <v>1</v>
      </c>
      <c r="N66" s="13">
        <v>0</v>
      </c>
      <c r="O66" s="13">
        <f t="shared" si="2"/>
        <v>0</v>
      </c>
      <c r="P66" s="13">
        <f t="shared" si="3"/>
        <v>2</v>
      </c>
      <c r="Q66" s="13">
        <f t="shared" si="4"/>
        <v>1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1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20">
        <f t="shared" si="5"/>
        <v>1</v>
      </c>
      <c r="AH66" s="16" t="s">
        <v>478</v>
      </c>
      <c r="AK66" s="13" t="s">
        <v>45</v>
      </c>
      <c r="AL66" s="14" t="s">
        <v>118</v>
      </c>
    </row>
    <row r="67" spans="1:39">
      <c r="A67" s="1">
        <v>65</v>
      </c>
      <c r="B67" s="16" t="s">
        <v>106</v>
      </c>
      <c r="C67" s="13" t="s">
        <v>24</v>
      </c>
      <c r="D67" s="14">
        <v>2008</v>
      </c>
      <c r="E67" s="21">
        <v>15.27</v>
      </c>
      <c r="F67" s="15">
        <v>2</v>
      </c>
      <c r="G67" s="16" t="s">
        <v>122</v>
      </c>
      <c r="H67" s="14" t="s">
        <v>123</v>
      </c>
      <c r="I67" s="13">
        <v>26</v>
      </c>
      <c r="J67" s="13" t="s">
        <v>29</v>
      </c>
      <c r="L67" s="16">
        <v>1</v>
      </c>
      <c r="M67" s="13">
        <f t="shared" si="1"/>
        <v>0.5</v>
      </c>
      <c r="N67" s="13">
        <v>1</v>
      </c>
      <c r="O67" s="13">
        <f t="shared" si="2"/>
        <v>0.5</v>
      </c>
      <c r="P67" s="13">
        <f t="shared" si="3"/>
        <v>2</v>
      </c>
      <c r="Q67" s="13">
        <f t="shared" si="4"/>
        <v>1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1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20">
        <f t="shared" si="5"/>
        <v>1</v>
      </c>
      <c r="AH67" s="16" t="s">
        <v>478</v>
      </c>
      <c r="AK67" s="13" t="s">
        <v>45</v>
      </c>
      <c r="AL67" s="14" t="s">
        <v>118</v>
      </c>
    </row>
    <row r="68" spans="1:39">
      <c r="A68" s="1">
        <v>66</v>
      </c>
      <c r="B68" s="16" t="s">
        <v>107</v>
      </c>
      <c r="C68" s="13" t="s">
        <v>24</v>
      </c>
      <c r="D68" s="14">
        <v>2008</v>
      </c>
      <c r="E68" s="21">
        <v>6.06</v>
      </c>
      <c r="F68" s="15">
        <v>2</v>
      </c>
      <c r="G68" s="16" t="s">
        <v>124</v>
      </c>
      <c r="H68" s="14" t="s">
        <v>125</v>
      </c>
      <c r="I68" s="13">
        <v>29</v>
      </c>
      <c r="J68" s="13" t="s">
        <v>29</v>
      </c>
      <c r="L68" s="16">
        <v>1</v>
      </c>
      <c r="M68" s="13">
        <f t="shared" si="1"/>
        <v>0.5</v>
      </c>
      <c r="N68" s="13">
        <v>0</v>
      </c>
      <c r="O68" s="13">
        <f t="shared" si="2"/>
        <v>0</v>
      </c>
      <c r="P68" s="13">
        <f t="shared" si="3"/>
        <v>1</v>
      </c>
      <c r="Q68" s="13">
        <f t="shared" si="4"/>
        <v>0.5</v>
      </c>
      <c r="R68" s="18">
        <v>1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20">
        <f t="shared" si="5"/>
        <v>1</v>
      </c>
      <c r="AH68" s="16" t="s">
        <v>126</v>
      </c>
      <c r="AK68" s="13" t="s">
        <v>127</v>
      </c>
      <c r="AL68" s="14" t="s">
        <v>128</v>
      </c>
    </row>
    <row r="69" spans="1:39">
      <c r="A69" s="1">
        <v>67</v>
      </c>
      <c r="B69" s="16" t="s">
        <v>107</v>
      </c>
      <c r="C69" s="13" t="s">
        <v>24</v>
      </c>
      <c r="D69" s="14">
        <v>2008</v>
      </c>
      <c r="E69" s="21">
        <v>6.2</v>
      </c>
      <c r="F69" s="15">
        <v>2</v>
      </c>
      <c r="G69" s="16" t="s">
        <v>254</v>
      </c>
      <c r="H69" s="14" t="s">
        <v>129</v>
      </c>
      <c r="I69" s="13">
        <v>31</v>
      </c>
      <c r="J69" s="13" t="s">
        <v>29</v>
      </c>
      <c r="L69" s="16">
        <v>1</v>
      </c>
      <c r="M69" s="13">
        <f t="shared" si="1"/>
        <v>0.5</v>
      </c>
      <c r="N69" s="13">
        <v>0</v>
      </c>
      <c r="O69" s="13">
        <f t="shared" si="2"/>
        <v>0</v>
      </c>
      <c r="P69" s="13">
        <f t="shared" si="3"/>
        <v>1</v>
      </c>
      <c r="Q69" s="13">
        <f t="shared" si="4"/>
        <v>0.5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1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20">
        <f t="shared" si="5"/>
        <v>1</v>
      </c>
      <c r="AH69" s="16" t="s">
        <v>126</v>
      </c>
      <c r="AK69" s="13" t="s">
        <v>127</v>
      </c>
      <c r="AL69" s="14" t="s">
        <v>128</v>
      </c>
    </row>
    <row r="70" spans="1:39">
      <c r="A70" s="1">
        <v>68</v>
      </c>
      <c r="B70" s="16" t="s">
        <v>107</v>
      </c>
      <c r="C70" s="13" t="s">
        <v>24</v>
      </c>
      <c r="D70" s="14">
        <v>2008</v>
      </c>
      <c r="E70" s="21">
        <v>6.25</v>
      </c>
      <c r="F70" s="15">
        <v>2</v>
      </c>
      <c r="G70" s="16" t="s">
        <v>130</v>
      </c>
      <c r="H70" s="14" t="s">
        <v>131</v>
      </c>
      <c r="I70" s="13">
        <v>31</v>
      </c>
      <c r="J70" s="13" t="s">
        <v>29</v>
      </c>
      <c r="L70" s="16">
        <v>1</v>
      </c>
      <c r="M70" s="13">
        <f t="shared" si="1"/>
        <v>0.5</v>
      </c>
      <c r="N70" s="13">
        <v>0</v>
      </c>
      <c r="O70" s="13">
        <f t="shared" si="2"/>
        <v>0</v>
      </c>
      <c r="P70" s="13">
        <f t="shared" si="3"/>
        <v>1</v>
      </c>
      <c r="Q70" s="13">
        <f t="shared" si="4"/>
        <v>0.5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1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20">
        <f t="shared" si="5"/>
        <v>1</v>
      </c>
      <c r="AH70" s="16" t="s">
        <v>126</v>
      </c>
      <c r="AK70" s="13" t="s">
        <v>127</v>
      </c>
      <c r="AL70" s="14" t="s">
        <v>128</v>
      </c>
    </row>
    <row r="71" spans="1:39">
      <c r="A71" s="1">
        <v>69</v>
      </c>
      <c r="B71" s="16" t="s">
        <v>107</v>
      </c>
      <c r="C71" s="13" t="s">
        <v>24</v>
      </c>
      <c r="D71" s="14">
        <v>2008</v>
      </c>
      <c r="E71" s="21">
        <v>6.48</v>
      </c>
      <c r="F71" s="15">
        <v>2</v>
      </c>
      <c r="G71" s="16" t="s">
        <v>132</v>
      </c>
      <c r="H71" s="14" t="s">
        <v>133</v>
      </c>
      <c r="I71" s="13">
        <v>40</v>
      </c>
      <c r="K71" s="13" t="s">
        <v>134</v>
      </c>
      <c r="L71" s="16">
        <v>0</v>
      </c>
      <c r="M71" s="13">
        <f t="shared" si="1"/>
        <v>0</v>
      </c>
      <c r="N71" s="13">
        <v>0</v>
      </c>
      <c r="O71" s="13">
        <f t="shared" si="2"/>
        <v>0</v>
      </c>
      <c r="P71" s="13">
        <f t="shared" si="3"/>
        <v>0</v>
      </c>
      <c r="Q71" s="13">
        <f t="shared" si="4"/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20">
        <f t="shared" si="5"/>
        <v>0</v>
      </c>
      <c r="AH71" s="16" t="s">
        <v>126</v>
      </c>
      <c r="AK71" s="13" t="s">
        <v>127</v>
      </c>
      <c r="AL71" s="14" t="s">
        <v>128</v>
      </c>
      <c r="AM71" s="15" t="s">
        <v>135</v>
      </c>
    </row>
    <row r="72" spans="1:39">
      <c r="A72" s="1">
        <v>70</v>
      </c>
      <c r="B72" s="16" t="s">
        <v>107</v>
      </c>
      <c r="C72" s="13" t="s">
        <v>24</v>
      </c>
      <c r="D72" s="14">
        <v>2008</v>
      </c>
      <c r="E72" s="21">
        <v>7.3</v>
      </c>
      <c r="F72" s="15">
        <v>2</v>
      </c>
      <c r="G72" s="16" t="s">
        <v>255</v>
      </c>
      <c r="H72" s="14" t="s">
        <v>393</v>
      </c>
      <c r="I72" s="13">
        <v>15</v>
      </c>
      <c r="J72" s="13" t="s">
        <v>29</v>
      </c>
      <c r="L72" s="16">
        <v>1</v>
      </c>
      <c r="M72" s="13">
        <f t="shared" si="1"/>
        <v>0.5</v>
      </c>
      <c r="N72" s="13">
        <v>1</v>
      </c>
      <c r="O72" s="13">
        <f t="shared" si="2"/>
        <v>0.5</v>
      </c>
      <c r="P72" s="13">
        <f t="shared" si="3"/>
        <v>2</v>
      </c>
      <c r="Q72" s="13">
        <f t="shared" si="4"/>
        <v>1</v>
      </c>
      <c r="R72" s="18">
        <v>1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20">
        <f t="shared" si="5"/>
        <v>1</v>
      </c>
      <c r="AE72" s="13" t="s">
        <v>57</v>
      </c>
      <c r="AF72" s="13">
        <v>400</v>
      </c>
      <c r="AH72" s="16" t="s">
        <v>126</v>
      </c>
      <c r="AK72" s="13" t="s">
        <v>127</v>
      </c>
      <c r="AL72" s="14" t="s">
        <v>128</v>
      </c>
    </row>
    <row r="73" spans="1:39">
      <c r="A73" s="1">
        <v>71</v>
      </c>
      <c r="B73" s="16" t="s">
        <v>107</v>
      </c>
      <c r="C73" s="13" t="s">
        <v>24</v>
      </c>
      <c r="D73" s="14">
        <v>2008</v>
      </c>
      <c r="E73" s="21">
        <v>7.3</v>
      </c>
      <c r="F73" s="15">
        <v>2</v>
      </c>
      <c r="G73" s="16" t="s">
        <v>255</v>
      </c>
      <c r="H73" s="14" t="s">
        <v>393</v>
      </c>
      <c r="I73" s="13">
        <v>15</v>
      </c>
      <c r="J73" s="13" t="s">
        <v>29</v>
      </c>
      <c r="L73" s="16">
        <v>1</v>
      </c>
      <c r="M73" s="13">
        <f t="shared" si="1"/>
        <v>0.5</v>
      </c>
      <c r="N73" s="13">
        <v>0</v>
      </c>
      <c r="O73" s="13">
        <f t="shared" si="2"/>
        <v>0</v>
      </c>
      <c r="P73" s="13">
        <f t="shared" si="3"/>
        <v>1</v>
      </c>
      <c r="Q73" s="13">
        <f t="shared" si="4"/>
        <v>0.5</v>
      </c>
      <c r="AD73" s="20">
        <f t="shared" si="5"/>
        <v>0</v>
      </c>
      <c r="AE73" s="13" t="s">
        <v>156</v>
      </c>
      <c r="AF73" s="13">
        <v>600</v>
      </c>
      <c r="AH73" s="16" t="s">
        <v>126</v>
      </c>
      <c r="AK73" s="13" t="s">
        <v>127</v>
      </c>
      <c r="AL73" s="14" t="s">
        <v>128</v>
      </c>
    </row>
    <row r="74" spans="1:39">
      <c r="A74" s="1">
        <v>72</v>
      </c>
      <c r="B74" s="16" t="s">
        <v>107</v>
      </c>
      <c r="C74" s="13" t="s">
        <v>24</v>
      </c>
      <c r="D74" s="14">
        <v>2008</v>
      </c>
      <c r="E74" s="21">
        <v>7.31</v>
      </c>
      <c r="F74" s="15">
        <v>2</v>
      </c>
      <c r="G74" s="16" t="s">
        <v>136</v>
      </c>
      <c r="H74" s="14" t="s">
        <v>137</v>
      </c>
      <c r="I74" s="13">
        <v>32</v>
      </c>
      <c r="J74" s="13" t="s">
        <v>29</v>
      </c>
      <c r="L74" s="16">
        <v>1</v>
      </c>
      <c r="M74" s="13">
        <f t="shared" si="1"/>
        <v>0.5</v>
      </c>
      <c r="N74" s="13">
        <v>1</v>
      </c>
      <c r="O74" s="13">
        <f t="shared" si="2"/>
        <v>0.5</v>
      </c>
      <c r="P74" s="13">
        <f t="shared" si="3"/>
        <v>2</v>
      </c>
      <c r="Q74" s="13">
        <f t="shared" si="4"/>
        <v>1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1</v>
      </c>
      <c r="AC74" s="18">
        <v>0</v>
      </c>
      <c r="AD74" s="20">
        <f t="shared" si="5"/>
        <v>1</v>
      </c>
      <c r="AH74" s="16" t="s">
        <v>126</v>
      </c>
      <c r="AK74" s="13" t="s">
        <v>127</v>
      </c>
      <c r="AL74" s="14" t="s">
        <v>128</v>
      </c>
    </row>
    <row r="75" spans="1:39">
      <c r="A75" s="1">
        <v>73</v>
      </c>
      <c r="B75" s="16" t="s">
        <v>107</v>
      </c>
      <c r="C75" s="13" t="s">
        <v>24</v>
      </c>
      <c r="D75" s="14">
        <v>2008</v>
      </c>
      <c r="E75" s="21">
        <v>7.38</v>
      </c>
      <c r="F75" s="15">
        <v>2</v>
      </c>
      <c r="G75" s="16" t="s">
        <v>256</v>
      </c>
      <c r="H75" s="14" t="s">
        <v>394</v>
      </c>
      <c r="I75" s="13">
        <v>41</v>
      </c>
      <c r="J75" s="13" t="s">
        <v>29</v>
      </c>
      <c r="L75" s="16">
        <v>1</v>
      </c>
      <c r="M75" s="13">
        <f t="shared" si="1"/>
        <v>0.5</v>
      </c>
      <c r="N75" s="13">
        <v>0</v>
      </c>
      <c r="O75" s="13">
        <f t="shared" si="2"/>
        <v>0</v>
      </c>
      <c r="P75" s="13">
        <f t="shared" si="3"/>
        <v>1</v>
      </c>
      <c r="Q75" s="13">
        <f t="shared" si="4"/>
        <v>0.5</v>
      </c>
      <c r="R75" s="18">
        <v>1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20">
        <f t="shared" si="5"/>
        <v>1</v>
      </c>
      <c r="AE75" s="13" t="s">
        <v>138</v>
      </c>
      <c r="AF75" s="13">
        <v>3704</v>
      </c>
      <c r="AH75" s="16" t="s">
        <v>126</v>
      </c>
      <c r="AI75" s="13">
        <v>8.6</v>
      </c>
      <c r="AJ75" s="13" t="s">
        <v>139</v>
      </c>
      <c r="AK75" s="13" t="s">
        <v>127</v>
      </c>
      <c r="AL75" s="14" t="s">
        <v>128</v>
      </c>
    </row>
    <row r="76" spans="1:39">
      <c r="A76" s="1">
        <v>74</v>
      </c>
      <c r="B76" s="16" t="s">
        <v>107</v>
      </c>
      <c r="C76" s="13" t="s">
        <v>24</v>
      </c>
      <c r="D76" s="14">
        <v>2008</v>
      </c>
      <c r="E76" s="21">
        <v>8.0299999999999994</v>
      </c>
      <c r="F76" s="15">
        <v>2</v>
      </c>
      <c r="G76" s="16" t="s">
        <v>257</v>
      </c>
      <c r="H76" s="14" t="s">
        <v>395</v>
      </c>
      <c r="I76" s="13">
        <v>45</v>
      </c>
      <c r="J76" s="13" t="s">
        <v>29</v>
      </c>
      <c r="L76" s="16">
        <v>1</v>
      </c>
      <c r="M76" s="13">
        <f t="shared" si="1"/>
        <v>0.5</v>
      </c>
      <c r="N76" s="13">
        <v>1</v>
      </c>
      <c r="O76" s="13">
        <f t="shared" si="2"/>
        <v>0.5</v>
      </c>
      <c r="P76" s="13">
        <f t="shared" si="3"/>
        <v>2</v>
      </c>
      <c r="Q76" s="13">
        <f t="shared" si="4"/>
        <v>1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2</v>
      </c>
      <c r="Z76" s="18">
        <v>0</v>
      </c>
      <c r="AA76" s="18">
        <v>0</v>
      </c>
      <c r="AB76" s="18">
        <v>0</v>
      </c>
      <c r="AC76" s="18">
        <v>0</v>
      </c>
      <c r="AD76" s="20">
        <f t="shared" si="5"/>
        <v>2</v>
      </c>
      <c r="AH76" s="16" t="s">
        <v>126</v>
      </c>
      <c r="AK76" s="13" t="s">
        <v>127</v>
      </c>
      <c r="AL76" s="14" t="s">
        <v>140</v>
      </c>
    </row>
    <row r="77" spans="1:39">
      <c r="A77" s="1">
        <v>75</v>
      </c>
      <c r="B77" s="16" t="s">
        <v>107</v>
      </c>
      <c r="C77" s="13" t="s">
        <v>24</v>
      </c>
      <c r="D77" s="14">
        <v>2008</v>
      </c>
      <c r="E77" s="21">
        <v>8.0500000000000007</v>
      </c>
      <c r="F77" s="15">
        <v>2</v>
      </c>
      <c r="G77" s="16" t="s">
        <v>258</v>
      </c>
      <c r="H77" s="14" t="s">
        <v>396</v>
      </c>
      <c r="I77" s="13">
        <v>45</v>
      </c>
      <c r="J77" s="13" t="s">
        <v>29</v>
      </c>
      <c r="L77" s="16">
        <v>1</v>
      </c>
      <c r="M77" s="13">
        <f t="shared" si="1"/>
        <v>0.5</v>
      </c>
      <c r="N77" s="13">
        <v>1</v>
      </c>
      <c r="O77" s="13">
        <f t="shared" si="2"/>
        <v>0.5</v>
      </c>
      <c r="P77" s="13">
        <f t="shared" si="3"/>
        <v>2</v>
      </c>
      <c r="Q77" s="13">
        <f t="shared" si="4"/>
        <v>1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1</v>
      </c>
      <c r="AC77" s="18">
        <v>0</v>
      </c>
      <c r="AD77" s="20">
        <f t="shared" si="5"/>
        <v>1</v>
      </c>
      <c r="AH77" s="16" t="s">
        <v>126</v>
      </c>
      <c r="AI77" s="13">
        <v>9.6</v>
      </c>
      <c r="AJ77" s="13" t="s">
        <v>141</v>
      </c>
      <c r="AK77" s="13" t="s">
        <v>127</v>
      </c>
      <c r="AL77" s="14" t="s">
        <v>140</v>
      </c>
    </row>
    <row r="78" spans="1:39">
      <c r="A78" s="1">
        <v>76</v>
      </c>
      <c r="B78" s="16" t="s">
        <v>107</v>
      </c>
      <c r="C78" s="13" t="s">
        <v>24</v>
      </c>
      <c r="D78" s="14">
        <v>2008</v>
      </c>
      <c r="E78" s="21">
        <v>8.1199999999999992</v>
      </c>
      <c r="F78" s="15">
        <v>2</v>
      </c>
      <c r="G78" s="16" t="s">
        <v>259</v>
      </c>
      <c r="H78" s="14" t="s">
        <v>397</v>
      </c>
      <c r="I78" s="13">
        <v>38</v>
      </c>
      <c r="J78" s="13" t="s">
        <v>29</v>
      </c>
      <c r="L78" s="16">
        <v>1</v>
      </c>
      <c r="M78" s="13">
        <f t="shared" si="1"/>
        <v>0.5</v>
      </c>
      <c r="N78" s="13">
        <v>1</v>
      </c>
      <c r="O78" s="13">
        <f t="shared" si="2"/>
        <v>0.5</v>
      </c>
      <c r="P78" s="13">
        <f t="shared" si="3"/>
        <v>2</v>
      </c>
      <c r="Q78" s="13">
        <f t="shared" si="4"/>
        <v>1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2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20">
        <f t="shared" si="5"/>
        <v>2</v>
      </c>
      <c r="AH78" s="16" t="s">
        <v>126</v>
      </c>
      <c r="AI78" s="13">
        <v>8.6999999999999993</v>
      </c>
      <c r="AJ78" s="13" t="s">
        <v>139</v>
      </c>
      <c r="AK78" s="13" t="s">
        <v>127</v>
      </c>
      <c r="AL78" s="14" t="s">
        <v>140</v>
      </c>
    </row>
    <row r="79" spans="1:39">
      <c r="A79" s="1">
        <v>77</v>
      </c>
      <c r="B79" s="16" t="s">
        <v>107</v>
      </c>
      <c r="C79" s="13" t="s">
        <v>24</v>
      </c>
      <c r="D79" s="14">
        <v>2008</v>
      </c>
      <c r="E79" s="21">
        <v>8.15</v>
      </c>
      <c r="F79" s="15">
        <v>2</v>
      </c>
      <c r="G79" s="16" t="s">
        <v>260</v>
      </c>
      <c r="H79" s="14" t="s">
        <v>398</v>
      </c>
      <c r="I79" s="13">
        <v>44</v>
      </c>
      <c r="J79" s="13" t="s">
        <v>29</v>
      </c>
      <c r="L79" s="16">
        <v>1</v>
      </c>
      <c r="M79" s="13">
        <f t="shared" si="1"/>
        <v>0.5</v>
      </c>
      <c r="N79" s="13">
        <v>0</v>
      </c>
      <c r="O79" s="13">
        <f t="shared" si="2"/>
        <v>0</v>
      </c>
      <c r="P79" s="13">
        <f t="shared" si="3"/>
        <v>1</v>
      </c>
      <c r="Q79" s="13">
        <f t="shared" si="4"/>
        <v>0.5</v>
      </c>
      <c r="AD79" s="20">
        <f t="shared" ref="AD79:AD142" si="6">R79+S79+T79+U79+V79+W79+X79+Y79+Z79+AA79+AC79+AB79</f>
        <v>0</v>
      </c>
      <c r="AE79" s="13" t="s">
        <v>156</v>
      </c>
      <c r="AF79" s="13">
        <v>1852</v>
      </c>
      <c r="AH79" s="16" t="s">
        <v>126</v>
      </c>
      <c r="AI79" s="13">
        <v>8.6999999999999993</v>
      </c>
      <c r="AJ79" s="13" t="s">
        <v>139</v>
      </c>
      <c r="AK79" s="13" t="s">
        <v>127</v>
      </c>
      <c r="AL79" s="14" t="s">
        <v>140</v>
      </c>
    </row>
    <row r="80" spans="1:39">
      <c r="A80" s="1">
        <v>78</v>
      </c>
      <c r="B80" s="16" t="s">
        <v>107</v>
      </c>
      <c r="C80" s="13" t="s">
        <v>24</v>
      </c>
      <c r="D80" s="14">
        <v>2008</v>
      </c>
      <c r="E80" s="21">
        <v>8.15</v>
      </c>
      <c r="F80" s="15">
        <v>2</v>
      </c>
      <c r="G80" s="16" t="s">
        <v>260</v>
      </c>
      <c r="H80" s="14" t="s">
        <v>398</v>
      </c>
      <c r="I80" s="13">
        <v>44</v>
      </c>
      <c r="J80" s="13" t="s">
        <v>29</v>
      </c>
      <c r="L80" s="16">
        <v>1</v>
      </c>
      <c r="M80" s="13">
        <f t="shared" si="1"/>
        <v>0.5</v>
      </c>
      <c r="N80" s="13">
        <v>1</v>
      </c>
      <c r="O80" s="13">
        <f t="shared" si="2"/>
        <v>0.5</v>
      </c>
      <c r="P80" s="13">
        <f t="shared" si="3"/>
        <v>2</v>
      </c>
      <c r="Q80" s="13">
        <f t="shared" si="4"/>
        <v>1</v>
      </c>
      <c r="AD80" s="20">
        <f t="shared" si="6"/>
        <v>0</v>
      </c>
      <c r="AE80" s="13" t="s">
        <v>197</v>
      </c>
      <c r="AF80" s="13">
        <v>600</v>
      </c>
      <c r="AH80" s="16" t="s">
        <v>126</v>
      </c>
      <c r="AI80" s="13">
        <v>8.6999999999999993</v>
      </c>
      <c r="AJ80" s="13" t="s">
        <v>139</v>
      </c>
      <c r="AK80" s="13" t="s">
        <v>127</v>
      </c>
      <c r="AL80" s="14" t="s">
        <v>140</v>
      </c>
    </row>
    <row r="81" spans="1:38">
      <c r="A81" s="1">
        <v>79</v>
      </c>
      <c r="B81" s="16" t="s">
        <v>107</v>
      </c>
      <c r="C81" s="13" t="s">
        <v>24</v>
      </c>
      <c r="D81" s="14">
        <v>2008</v>
      </c>
      <c r="E81" s="21">
        <v>8.1999999999999993</v>
      </c>
      <c r="F81" s="15">
        <v>2</v>
      </c>
      <c r="G81" s="16" t="s">
        <v>261</v>
      </c>
      <c r="H81" s="14" t="s">
        <v>399</v>
      </c>
      <c r="I81" s="13">
        <v>46</v>
      </c>
      <c r="J81" s="13" t="s">
        <v>29</v>
      </c>
      <c r="L81" s="16">
        <v>1</v>
      </c>
      <c r="M81" s="13">
        <f t="shared" si="1"/>
        <v>0.5</v>
      </c>
      <c r="N81" s="13">
        <v>0</v>
      </c>
      <c r="O81" s="13">
        <f t="shared" si="2"/>
        <v>0</v>
      </c>
      <c r="P81" s="13">
        <f t="shared" si="3"/>
        <v>1</v>
      </c>
      <c r="Q81" s="13">
        <f t="shared" si="4"/>
        <v>0.5</v>
      </c>
      <c r="R81" s="18">
        <v>1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20">
        <f t="shared" si="6"/>
        <v>1</v>
      </c>
      <c r="AE81" s="13" t="s">
        <v>156</v>
      </c>
      <c r="AF81" s="13">
        <v>800</v>
      </c>
      <c r="AH81" s="16" t="s">
        <v>126</v>
      </c>
      <c r="AI81" s="13">
        <v>10.7</v>
      </c>
      <c r="AJ81" s="13" t="s">
        <v>142</v>
      </c>
      <c r="AK81" s="13" t="s">
        <v>127</v>
      </c>
      <c r="AL81" s="14" t="s">
        <v>140</v>
      </c>
    </row>
    <row r="82" spans="1:38">
      <c r="A82" s="1">
        <v>80</v>
      </c>
      <c r="B82" s="16" t="s">
        <v>107</v>
      </c>
      <c r="C82" s="13" t="s">
        <v>24</v>
      </c>
      <c r="D82" s="14">
        <v>2008</v>
      </c>
      <c r="E82" s="21">
        <v>8.27</v>
      </c>
      <c r="F82" s="15">
        <v>2</v>
      </c>
      <c r="G82" s="16" t="s">
        <v>262</v>
      </c>
      <c r="H82" s="14" t="s">
        <v>400</v>
      </c>
      <c r="I82" s="13">
        <v>50</v>
      </c>
      <c r="J82" s="13" t="s">
        <v>29</v>
      </c>
      <c r="L82" s="16">
        <v>1</v>
      </c>
      <c r="M82" s="13">
        <f t="shared" si="1"/>
        <v>0.5</v>
      </c>
      <c r="N82" s="13">
        <v>1</v>
      </c>
      <c r="O82" s="13">
        <f t="shared" si="2"/>
        <v>0.5</v>
      </c>
      <c r="P82" s="13">
        <f t="shared" si="3"/>
        <v>2</v>
      </c>
      <c r="Q82" s="13">
        <f t="shared" si="4"/>
        <v>1</v>
      </c>
      <c r="R82" s="18">
        <v>0</v>
      </c>
      <c r="S82" s="18">
        <v>0</v>
      </c>
      <c r="T82" s="18">
        <v>0</v>
      </c>
      <c r="U82" s="18">
        <v>1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20">
        <f t="shared" si="6"/>
        <v>1</v>
      </c>
      <c r="AH82" s="16" t="s">
        <v>126</v>
      </c>
      <c r="AI82" s="13">
        <v>9.9</v>
      </c>
      <c r="AJ82" s="13" t="s">
        <v>143</v>
      </c>
      <c r="AK82" s="13" t="s">
        <v>127</v>
      </c>
      <c r="AL82" s="14" t="s">
        <v>140</v>
      </c>
    </row>
    <row r="83" spans="1:38">
      <c r="A83" s="1">
        <v>81</v>
      </c>
      <c r="B83" s="16" t="s">
        <v>107</v>
      </c>
      <c r="C83" s="13" t="s">
        <v>24</v>
      </c>
      <c r="D83" s="14">
        <v>2008</v>
      </c>
      <c r="E83" s="21">
        <v>8.35</v>
      </c>
      <c r="F83" s="15">
        <v>2</v>
      </c>
      <c r="G83" s="16" t="s">
        <v>263</v>
      </c>
      <c r="H83" s="14" t="s">
        <v>401</v>
      </c>
      <c r="I83" s="13">
        <v>40</v>
      </c>
      <c r="J83" s="13" t="s">
        <v>29</v>
      </c>
      <c r="L83" s="16">
        <v>1</v>
      </c>
      <c r="M83" s="13">
        <f t="shared" si="1"/>
        <v>0.5</v>
      </c>
      <c r="N83" s="13">
        <v>0</v>
      </c>
      <c r="O83" s="13">
        <f t="shared" si="2"/>
        <v>0</v>
      </c>
      <c r="P83" s="13">
        <f t="shared" si="3"/>
        <v>1</v>
      </c>
      <c r="Q83" s="13">
        <f t="shared" si="4"/>
        <v>0.5</v>
      </c>
      <c r="R83" s="18">
        <v>1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20">
        <f t="shared" si="6"/>
        <v>1</v>
      </c>
      <c r="AG83" s="14" t="s">
        <v>78</v>
      </c>
      <c r="AH83" s="16" t="s">
        <v>126</v>
      </c>
      <c r="AI83" s="13">
        <v>9.5</v>
      </c>
      <c r="AJ83" s="13" t="s">
        <v>139</v>
      </c>
      <c r="AK83" s="13" t="s">
        <v>127</v>
      </c>
      <c r="AL83" s="14" t="s">
        <v>140</v>
      </c>
    </row>
    <row r="84" spans="1:38">
      <c r="A84" s="1">
        <v>82</v>
      </c>
      <c r="B84" s="16" t="s">
        <v>107</v>
      </c>
      <c r="C84" s="13" t="s">
        <v>24</v>
      </c>
      <c r="D84" s="14">
        <v>2008</v>
      </c>
      <c r="E84" s="21">
        <v>8.39</v>
      </c>
      <c r="F84" s="15">
        <v>2</v>
      </c>
      <c r="G84" s="16" t="s">
        <v>264</v>
      </c>
      <c r="H84" s="14" t="s">
        <v>402</v>
      </c>
      <c r="I84" s="13">
        <v>42</v>
      </c>
      <c r="J84" s="13" t="s">
        <v>29</v>
      </c>
      <c r="L84" s="16">
        <v>1</v>
      </c>
      <c r="M84" s="13">
        <f t="shared" si="1"/>
        <v>0.5</v>
      </c>
      <c r="N84" s="13">
        <v>0</v>
      </c>
      <c r="O84" s="13">
        <f t="shared" si="2"/>
        <v>0</v>
      </c>
      <c r="P84" s="13">
        <f t="shared" si="3"/>
        <v>1</v>
      </c>
      <c r="Q84" s="13">
        <f t="shared" si="4"/>
        <v>0.5</v>
      </c>
      <c r="R84" s="18">
        <v>1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20">
        <f t="shared" si="6"/>
        <v>1</v>
      </c>
      <c r="AE84" s="13" t="s">
        <v>138</v>
      </c>
      <c r="AF84" s="13">
        <v>3704</v>
      </c>
      <c r="AH84" s="16" t="s">
        <v>144</v>
      </c>
      <c r="AI84" s="13">
        <v>9.6</v>
      </c>
      <c r="AJ84" s="13" t="s">
        <v>139</v>
      </c>
      <c r="AK84" s="13" t="s">
        <v>145</v>
      </c>
      <c r="AL84" s="14" t="s">
        <v>146</v>
      </c>
    </row>
    <row r="85" spans="1:38">
      <c r="A85" s="1">
        <v>83</v>
      </c>
      <c r="B85" s="16" t="s">
        <v>107</v>
      </c>
      <c r="C85" s="13" t="s">
        <v>24</v>
      </c>
      <c r="D85" s="14">
        <v>2008</v>
      </c>
      <c r="E85" s="21">
        <v>8.44</v>
      </c>
      <c r="F85" s="15">
        <v>2</v>
      </c>
      <c r="G85" s="16" t="s">
        <v>265</v>
      </c>
      <c r="H85" s="14" t="s">
        <v>403</v>
      </c>
      <c r="I85" s="13">
        <v>50</v>
      </c>
      <c r="J85" s="13" t="s">
        <v>29</v>
      </c>
      <c r="K85" s="13" t="s">
        <v>147</v>
      </c>
      <c r="L85" s="16">
        <v>1</v>
      </c>
      <c r="M85" s="13">
        <f t="shared" si="1"/>
        <v>0.5</v>
      </c>
      <c r="N85" s="13">
        <v>0</v>
      </c>
      <c r="O85" s="13">
        <f t="shared" si="2"/>
        <v>0</v>
      </c>
      <c r="P85" s="13">
        <f t="shared" si="3"/>
        <v>1</v>
      </c>
      <c r="Q85" s="13">
        <f t="shared" si="4"/>
        <v>0.5</v>
      </c>
      <c r="R85" s="18">
        <v>1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20">
        <f>R85+S85+T85+U85+V85+W85+X85+Y85+Z85+AA85+AC85+AB85</f>
        <v>1</v>
      </c>
      <c r="AE85" s="13" t="s">
        <v>148</v>
      </c>
      <c r="AF85" s="13">
        <v>4630</v>
      </c>
      <c r="AH85" s="16" t="s">
        <v>144</v>
      </c>
      <c r="AI85" s="13">
        <v>9.8000000000000007</v>
      </c>
      <c r="AJ85" s="13" t="s">
        <v>141</v>
      </c>
      <c r="AK85" s="13" t="s">
        <v>145</v>
      </c>
      <c r="AL85" s="14" t="s">
        <v>146</v>
      </c>
    </row>
    <row r="86" spans="1:38">
      <c r="A86" s="1">
        <v>84</v>
      </c>
      <c r="B86" s="16" t="s">
        <v>107</v>
      </c>
      <c r="C86" s="13" t="s">
        <v>24</v>
      </c>
      <c r="D86" s="14">
        <v>2008</v>
      </c>
      <c r="E86" s="21">
        <v>9.1</v>
      </c>
      <c r="F86" s="15">
        <v>2</v>
      </c>
      <c r="G86" s="16" t="s">
        <v>266</v>
      </c>
      <c r="H86" s="14" t="s">
        <v>404</v>
      </c>
      <c r="I86" s="13">
        <v>60</v>
      </c>
      <c r="J86" s="13" t="s">
        <v>29</v>
      </c>
      <c r="L86" s="16">
        <v>2</v>
      </c>
      <c r="M86" s="13">
        <f t="shared" si="1"/>
        <v>1</v>
      </c>
      <c r="N86" s="13">
        <v>0</v>
      </c>
      <c r="O86" s="13">
        <f t="shared" si="2"/>
        <v>0</v>
      </c>
      <c r="P86" s="13">
        <f t="shared" si="3"/>
        <v>2</v>
      </c>
      <c r="Q86" s="13">
        <f t="shared" si="4"/>
        <v>1</v>
      </c>
      <c r="AD86" s="20">
        <f t="shared" si="6"/>
        <v>0</v>
      </c>
      <c r="AF86" s="13">
        <v>300</v>
      </c>
      <c r="AH86" s="16" t="s">
        <v>144</v>
      </c>
      <c r="AI86" s="13">
        <v>8.8000000000000007</v>
      </c>
      <c r="AJ86" s="13" t="s">
        <v>141</v>
      </c>
      <c r="AK86" s="13" t="s">
        <v>145</v>
      </c>
      <c r="AL86" s="14" t="s">
        <v>146</v>
      </c>
    </row>
    <row r="87" spans="1:38">
      <c r="A87" s="1">
        <v>85</v>
      </c>
      <c r="B87" s="16" t="s">
        <v>107</v>
      </c>
      <c r="C87" s="13" t="s">
        <v>24</v>
      </c>
      <c r="D87" s="14">
        <v>2008</v>
      </c>
      <c r="E87" s="21">
        <v>9.2799999999999994</v>
      </c>
      <c r="F87" s="15">
        <v>2</v>
      </c>
      <c r="G87" s="16" t="s">
        <v>267</v>
      </c>
      <c r="H87" s="14" t="s">
        <v>405</v>
      </c>
      <c r="I87" s="13">
        <v>60</v>
      </c>
      <c r="J87" s="13" t="s">
        <v>29</v>
      </c>
      <c r="L87" s="16">
        <v>1</v>
      </c>
      <c r="M87" s="13">
        <f t="shared" si="1"/>
        <v>0.5</v>
      </c>
      <c r="N87" s="13">
        <v>0</v>
      </c>
      <c r="O87" s="13">
        <f t="shared" si="2"/>
        <v>0</v>
      </c>
      <c r="P87" s="13">
        <f t="shared" si="3"/>
        <v>1</v>
      </c>
      <c r="Q87" s="13">
        <f t="shared" si="4"/>
        <v>0.5</v>
      </c>
      <c r="AD87" s="20">
        <f t="shared" si="6"/>
        <v>0</v>
      </c>
      <c r="AE87" s="13" t="s">
        <v>57</v>
      </c>
      <c r="AF87" s="13">
        <v>800</v>
      </c>
      <c r="AH87" s="16" t="s">
        <v>144</v>
      </c>
      <c r="AI87" s="13">
        <v>9.6999999999999993</v>
      </c>
      <c r="AJ87" s="13" t="s">
        <v>149</v>
      </c>
      <c r="AK87" s="13" t="s">
        <v>145</v>
      </c>
      <c r="AL87" s="14" t="s">
        <v>146</v>
      </c>
    </row>
    <row r="88" spans="1:38">
      <c r="A88" s="1">
        <v>86</v>
      </c>
      <c r="B88" s="16" t="s">
        <v>107</v>
      </c>
      <c r="C88" s="13" t="s">
        <v>24</v>
      </c>
      <c r="D88" s="14">
        <v>2008</v>
      </c>
      <c r="E88" s="21">
        <v>10.15</v>
      </c>
      <c r="F88" s="15">
        <v>2</v>
      </c>
      <c r="G88" s="16" t="s">
        <v>268</v>
      </c>
      <c r="H88" s="14" t="s">
        <v>406</v>
      </c>
      <c r="I88" s="13">
        <v>49</v>
      </c>
      <c r="J88" s="13" t="s">
        <v>29</v>
      </c>
      <c r="L88" s="16">
        <v>1</v>
      </c>
      <c r="M88" s="13">
        <f t="shared" si="1"/>
        <v>0.5</v>
      </c>
      <c r="N88" s="13">
        <v>0</v>
      </c>
      <c r="O88" s="13">
        <f t="shared" si="2"/>
        <v>0</v>
      </c>
      <c r="P88" s="13">
        <f t="shared" si="3"/>
        <v>1</v>
      </c>
      <c r="Q88" s="13">
        <f t="shared" si="4"/>
        <v>0.5</v>
      </c>
      <c r="AD88" s="20">
        <f t="shared" si="6"/>
        <v>0</v>
      </c>
      <c r="AE88" s="13" t="s">
        <v>57</v>
      </c>
      <c r="AF88" s="13">
        <v>600</v>
      </c>
      <c r="AH88" s="16" t="s">
        <v>144</v>
      </c>
      <c r="AI88" s="13">
        <v>8.1999999999999993</v>
      </c>
      <c r="AJ88" s="13" t="s">
        <v>150</v>
      </c>
      <c r="AK88" s="13" t="s">
        <v>145</v>
      </c>
      <c r="AL88" s="14" t="s">
        <v>146</v>
      </c>
    </row>
    <row r="89" spans="1:38">
      <c r="A89" s="1">
        <v>87</v>
      </c>
      <c r="B89" s="16" t="s">
        <v>107</v>
      </c>
      <c r="C89" s="13" t="s">
        <v>24</v>
      </c>
      <c r="D89" s="14">
        <v>2008</v>
      </c>
      <c r="E89" s="21">
        <v>10.37</v>
      </c>
      <c r="F89" s="15">
        <v>2</v>
      </c>
      <c r="G89" s="16" t="s">
        <v>269</v>
      </c>
      <c r="H89" s="14" t="s">
        <v>487</v>
      </c>
      <c r="I89" s="13">
        <v>58</v>
      </c>
      <c r="J89" s="13" t="s">
        <v>29</v>
      </c>
      <c r="L89" s="16">
        <v>1</v>
      </c>
      <c r="M89" s="13">
        <f t="shared" si="1"/>
        <v>0.5</v>
      </c>
      <c r="N89" s="13">
        <v>0</v>
      </c>
      <c r="O89" s="13">
        <f t="shared" si="2"/>
        <v>0</v>
      </c>
      <c r="P89" s="13">
        <f t="shared" si="3"/>
        <v>1</v>
      </c>
      <c r="Q89" s="13">
        <f t="shared" si="4"/>
        <v>0.5</v>
      </c>
      <c r="AD89" s="20">
        <f t="shared" si="6"/>
        <v>0</v>
      </c>
      <c r="AE89" s="13" t="s">
        <v>156</v>
      </c>
      <c r="AF89" s="13">
        <v>800</v>
      </c>
      <c r="AH89" s="16" t="s">
        <v>144</v>
      </c>
      <c r="AI89" s="13">
        <v>7.7</v>
      </c>
      <c r="AJ89" s="13" t="s">
        <v>143</v>
      </c>
      <c r="AK89" s="13" t="s">
        <v>145</v>
      </c>
      <c r="AL89" s="14" t="s">
        <v>146</v>
      </c>
    </row>
    <row r="90" spans="1:38">
      <c r="A90" s="1">
        <v>88</v>
      </c>
      <c r="B90" s="16" t="s">
        <v>107</v>
      </c>
      <c r="C90" s="13" t="s">
        <v>24</v>
      </c>
      <c r="D90" s="14">
        <v>2008</v>
      </c>
      <c r="E90" s="21">
        <v>10.4</v>
      </c>
      <c r="F90" s="15">
        <v>2</v>
      </c>
      <c r="G90" s="16" t="s">
        <v>270</v>
      </c>
      <c r="H90" s="14" t="s">
        <v>407</v>
      </c>
      <c r="I90" s="13">
        <v>60</v>
      </c>
      <c r="J90" s="13" t="s">
        <v>29</v>
      </c>
      <c r="L90" s="16">
        <v>1</v>
      </c>
      <c r="M90" s="13">
        <f t="shared" si="1"/>
        <v>0.5</v>
      </c>
      <c r="N90" s="13">
        <v>0</v>
      </c>
      <c r="O90" s="13">
        <f t="shared" si="2"/>
        <v>0</v>
      </c>
      <c r="P90" s="13">
        <f t="shared" si="3"/>
        <v>1</v>
      </c>
      <c r="Q90" s="13">
        <f t="shared" si="4"/>
        <v>0.5</v>
      </c>
      <c r="AD90" s="20">
        <f t="shared" si="6"/>
        <v>0</v>
      </c>
      <c r="AE90" s="13" t="s">
        <v>151</v>
      </c>
      <c r="AF90" s="13">
        <v>3704</v>
      </c>
      <c r="AH90" s="16" t="s">
        <v>144</v>
      </c>
      <c r="AI90" s="13">
        <v>9.6</v>
      </c>
      <c r="AJ90" s="13" t="s">
        <v>152</v>
      </c>
      <c r="AK90" s="13" t="s">
        <v>145</v>
      </c>
      <c r="AL90" s="14" t="s">
        <v>146</v>
      </c>
    </row>
    <row r="91" spans="1:38">
      <c r="A91" s="1">
        <v>89</v>
      </c>
      <c r="B91" s="16" t="s">
        <v>107</v>
      </c>
      <c r="C91" s="13" t="s">
        <v>24</v>
      </c>
      <c r="D91" s="14">
        <v>2008</v>
      </c>
      <c r="E91" s="21">
        <v>10.42</v>
      </c>
      <c r="F91" s="15">
        <v>2</v>
      </c>
      <c r="G91" s="16" t="s">
        <v>271</v>
      </c>
      <c r="H91" s="14" t="s">
        <v>408</v>
      </c>
      <c r="I91" s="13">
        <v>68</v>
      </c>
      <c r="J91" s="13" t="s">
        <v>29</v>
      </c>
      <c r="L91" s="16">
        <v>1</v>
      </c>
      <c r="M91" s="13">
        <f t="shared" si="1"/>
        <v>0.5</v>
      </c>
      <c r="N91" s="13">
        <v>1</v>
      </c>
      <c r="O91" s="13">
        <f t="shared" si="2"/>
        <v>0.5</v>
      </c>
      <c r="P91" s="13">
        <f t="shared" si="3"/>
        <v>2</v>
      </c>
      <c r="Q91" s="13">
        <f t="shared" si="4"/>
        <v>1</v>
      </c>
      <c r="R91" s="18">
        <v>1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20">
        <f t="shared" si="6"/>
        <v>1</v>
      </c>
      <c r="AE91" s="13" t="s">
        <v>156</v>
      </c>
      <c r="AF91" s="13">
        <v>2778</v>
      </c>
      <c r="AH91" s="16" t="s">
        <v>144</v>
      </c>
      <c r="AI91" s="13">
        <v>9.6999999999999993</v>
      </c>
      <c r="AJ91" s="13" t="s">
        <v>153</v>
      </c>
      <c r="AK91" s="13" t="s">
        <v>145</v>
      </c>
      <c r="AL91" s="14" t="s">
        <v>146</v>
      </c>
    </row>
    <row r="92" spans="1:38">
      <c r="A92" s="1">
        <v>90</v>
      </c>
      <c r="B92" s="16" t="s">
        <v>107</v>
      </c>
      <c r="C92" s="13" t="s">
        <v>24</v>
      </c>
      <c r="D92" s="14">
        <v>2008</v>
      </c>
      <c r="E92" s="21">
        <v>11.09</v>
      </c>
      <c r="F92" s="15">
        <v>2</v>
      </c>
      <c r="G92" s="16" t="s">
        <v>272</v>
      </c>
      <c r="H92" s="14" t="s">
        <v>409</v>
      </c>
      <c r="I92" s="13">
        <v>61</v>
      </c>
      <c r="J92" s="13" t="s">
        <v>29</v>
      </c>
      <c r="L92" s="16">
        <v>2</v>
      </c>
      <c r="M92" s="13">
        <f t="shared" si="1"/>
        <v>1</v>
      </c>
      <c r="N92" s="13">
        <v>0</v>
      </c>
      <c r="O92" s="13">
        <f t="shared" si="2"/>
        <v>0</v>
      </c>
      <c r="P92" s="13">
        <f t="shared" si="3"/>
        <v>2</v>
      </c>
      <c r="Q92" s="13">
        <f t="shared" si="4"/>
        <v>1</v>
      </c>
      <c r="R92" s="18">
        <v>2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20">
        <f t="shared" si="6"/>
        <v>2</v>
      </c>
      <c r="AH92" s="16" t="s">
        <v>144</v>
      </c>
      <c r="AI92" s="13">
        <v>9.1</v>
      </c>
      <c r="AJ92" s="13" t="s">
        <v>143</v>
      </c>
      <c r="AK92" s="13" t="s">
        <v>91</v>
      </c>
      <c r="AL92" s="14" t="s">
        <v>146</v>
      </c>
    </row>
    <row r="93" spans="1:38">
      <c r="A93" s="1">
        <v>91</v>
      </c>
      <c r="B93" s="16" t="s">
        <v>107</v>
      </c>
      <c r="C93" s="13" t="s">
        <v>24</v>
      </c>
      <c r="D93" s="14">
        <v>2008</v>
      </c>
      <c r="E93" s="21">
        <v>11.2</v>
      </c>
      <c r="F93" s="15">
        <v>2</v>
      </c>
      <c r="G93" s="16" t="s">
        <v>273</v>
      </c>
      <c r="H93" s="14" t="s">
        <v>410</v>
      </c>
      <c r="I93" s="13">
        <v>64</v>
      </c>
      <c r="J93" s="13" t="s">
        <v>29</v>
      </c>
      <c r="L93" s="16">
        <v>1</v>
      </c>
      <c r="M93" s="13">
        <f t="shared" si="1"/>
        <v>0.5</v>
      </c>
      <c r="N93" s="13">
        <v>1</v>
      </c>
      <c r="O93" s="13">
        <f t="shared" si="2"/>
        <v>0.5</v>
      </c>
      <c r="P93" s="13">
        <f t="shared" si="3"/>
        <v>2</v>
      </c>
      <c r="Q93" s="13">
        <f t="shared" si="4"/>
        <v>1</v>
      </c>
      <c r="AD93" s="20">
        <f t="shared" si="6"/>
        <v>0</v>
      </c>
      <c r="AE93" s="13" t="s">
        <v>57</v>
      </c>
      <c r="AF93" s="13">
        <v>600</v>
      </c>
      <c r="AH93" s="16" t="s">
        <v>144</v>
      </c>
      <c r="AI93" s="13">
        <v>8.8000000000000007</v>
      </c>
      <c r="AJ93" s="13" t="s">
        <v>154</v>
      </c>
      <c r="AK93" s="13" t="s">
        <v>91</v>
      </c>
      <c r="AL93" s="14" t="s">
        <v>146</v>
      </c>
    </row>
    <row r="94" spans="1:38">
      <c r="A94" s="1">
        <v>92</v>
      </c>
      <c r="B94" s="16" t="s">
        <v>107</v>
      </c>
      <c r="C94" s="13" t="s">
        <v>24</v>
      </c>
      <c r="D94" s="14">
        <v>2008</v>
      </c>
      <c r="E94" s="21">
        <v>11.22</v>
      </c>
      <c r="F94" s="15">
        <v>2</v>
      </c>
      <c r="G94" s="16" t="s">
        <v>274</v>
      </c>
      <c r="H94" s="14" t="s">
        <v>411</v>
      </c>
      <c r="I94" s="13">
        <v>59</v>
      </c>
      <c r="J94" s="13" t="s">
        <v>29</v>
      </c>
      <c r="L94" s="16">
        <v>1</v>
      </c>
      <c r="M94" s="13">
        <f t="shared" si="1"/>
        <v>0.5</v>
      </c>
      <c r="N94" s="13">
        <v>0</v>
      </c>
      <c r="O94" s="13">
        <f t="shared" si="2"/>
        <v>0</v>
      </c>
      <c r="P94" s="13">
        <f t="shared" si="3"/>
        <v>1</v>
      </c>
      <c r="Q94" s="13">
        <f t="shared" si="4"/>
        <v>0.5</v>
      </c>
      <c r="AD94" s="20">
        <f t="shared" si="6"/>
        <v>0</v>
      </c>
      <c r="AE94" s="13" t="s">
        <v>57</v>
      </c>
      <c r="AF94" s="13">
        <v>2778</v>
      </c>
      <c r="AH94" s="16" t="s">
        <v>144</v>
      </c>
      <c r="AI94" s="13">
        <v>8.6999999999999993</v>
      </c>
      <c r="AJ94" s="13" t="s">
        <v>154</v>
      </c>
      <c r="AK94" s="13" t="s">
        <v>91</v>
      </c>
      <c r="AL94" s="14" t="s">
        <v>146</v>
      </c>
    </row>
    <row r="95" spans="1:38">
      <c r="A95" s="1">
        <v>93</v>
      </c>
      <c r="B95" s="16" t="s">
        <v>107</v>
      </c>
      <c r="C95" s="13" t="s">
        <v>24</v>
      </c>
      <c r="D95" s="14">
        <v>2008</v>
      </c>
      <c r="E95" s="21">
        <v>11.27</v>
      </c>
      <c r="F95" s="15">
        <v>2</v>
      </c>
      <c r="G95" s="16" t="s">
        <v>275</v>
      </c>
      <c r="H95" s="14" t="s">
        <v>412</v>
      </c>
      <c r="I95" s="13">
        <v>60</v>
      </c>
      <c r="J95" s="13" t="s">
        <v>29</v>
      </c>
      <c r="L95" s="16">
        <v>1</v>
      </c>
      <c r="M95" s="13">
        <f t="shared" si="1"/>
        <v>0.5</v>
      </c>
      <c r="N95" s="13">
        <v>1</v>
      </c>
      <c r="O95" s="13">
        <f t="shared" si="2"/>
        <v>0.5</v>
      </c>
      <c r="P95" s="13">
        <f t="shared" si="3"/>
        <v>2</v>
      </c>
      <c r="Q95" s="13">
        <f t="shared" si="4"/>
        <v>1</v>
      </c>
      <c r="AD95" s="20">
        <f t="shared" si="6"/>
        <v>0</v>
      </c>
      <c r="AE95" s="13" t="s">
        <v>57</v>
      </c>
      <c r="AF95" s="13">
        <v>2778</v>
      </c>
      <c r="AH95" s="16" t="s">
        <v>144</v>
      </c>
      <c r="AI95" s="13">
        <v>8.9</v>
      </c>
      <c r="AJ95" s="13" t="s">
        <v>154</v>
      </c>
      <c r="AK95" s="13" t="s">
        <v>91</v>
      </c>
      <c r="AL95" s="14" t="s">
        <v>146</v>
      </c>
    </row>
    <row r="96" spans="1:38">
      <c r="A96" s="1">
        <v>94</v>
      </c>
      <c r="B96" s="16" t="s">
        <v>107</v>
      </c>
      <c r="C96" s="13" t="s">
        <v>24</v>
      </c>
      <c r="D96" s="14">
        <v>2008</v>
      </c>
      <c r="E96" s="21">
        <v>11.38</v>
      </c>
      <c r="F96" s="15">
        <v>2</v>
      </c>
      <c r="G96" s="16" t="s">
        <v>276</v>
      </c>
      <c r="H96" s="14" t="s">
        <v>413</v>
      </c>
      <c r="I96" s="13">
        <v>60</v>
      </c>
      <c r="J96" s="13" t="s">
        <v>29</v>
      </c>
      <c r="L96" s="16">
        <v>1</v>
      </c>
      <c r="M96" s="13">
        <f t="shared" si="1"/>
        <v>0.5</v>
      </c>
      <c r="N96" s="13">
        <v>0</v>
      </c>
      <c r="O96" s="13">
        <f t="shared" si="2"/>
        <v>0</v>
      </c>
      <c r="P96" s="13">
        <f t="shared" si="3"/>
        <v>1</v>
      </c>
      <c r="Q96" s="13">
        <f t="shared" si="4"/>
        <v>0.5</v>
      </c>
      <c r="AD96" s="20">
        <f t="shared" si="6"/>
        <v>0</v>
      </c>
      <c r="AE96" s="13" t="s">
        <v>197</v>
      </c>
      <c r="AF96" s="13">
        <v>600</v>
      </c>
      <c r="AH96" s="16" t="s">
        <v>144</v>
      </c>
      <c r="AI96" s="13">
        <v>8.5</v>
      </c>
      <c r="AJ96" s="13" t="s">
        <v>152</v>
      </c>
      <c r="AK96" s="13" t="s">
        <v>91</v>
      </c>
      <c r="AL96" s="14" t="s">
        <v>146</v>
      </c>
    </row>
    <row r="97" spans="1:39">
      <c r="A97" s="1">
        <v>95</v>
      </c>
      <c r="B97" s="16" t="s">
        <v>107</v>
      </c>
      <c r="C97" s="13" t="s">
        <v>24</v>
      </c>
      <c r="D97" s="14">
        <v>2008</v>
      </c>
      <c r="E97" s="21">
        <v>11.47</v>
      </c>
      <c r="F97" s="15">
        <v>2</v>
      </c>
      <c r="G97" s="16" t="s">
        <v>277</v>
      </c>
      <c r="H97" s="14" t="s">
        <v>414</v>
      </c>
      <c r="I97" s="13">
        <v>48</v>
      </c>
      <c r="J97" s="13" t="s">
        <v>29</v>
      </c>
      <c r="L97" s="16">
        <v>1</v>
      </c>
      <c r="M97" s="13">
        <f t="shared" si="1"/>
        <v>0.5</v>
      </c>
      <c r="N97" s="13">
        <v>0</v>
      </c>
      <c r="O97" s="13">
        <f t="shared" si="2"/>
        <v>0</v>
      </c>
      <c r="P97" s="13">
        <f t="shared" si="3"/>
        <v>1</v>
      </c>
      <c r="Q97" s="13">
        <f t="shared" si="4"/>
        <v>0.5</v>
      </c>
      <c r="AD97" s="20">
        <f t="shared" si="6"/>
        <v>0</v>
      </c>
      <c r="AE97" s="13" t="s">
        <v>197</v>
      </c>
      <c r="AF97" s="13">
        <v>400</v>
      </c>
      <c r="AH97" s="16" t="s">
        <v>144</v>
      </c>
      <c r="AK97" s="13" t="s">
        <v>91</v>
      </c>
      <c r="AL97" s="14" t="s">
        <v>146</v>
      </c>
    </row>
    <row r="98" spans="1:39">
      <c r="A98" s="1">
        <v>96</v>
      </c>
      <c r="B98" s="16" t="s">
        <v>107</v>
      </c>
      <c r="C98" s="13" t="s">
        <v>24</v>
      </c>
      <c r="D98" s="14">
        <v>2008</v>
      </c>
      <c r="E98" s="21">
        <v>11.49</v>
      </c>
      <c r="F98" s="15">
        <v>2</v>
      </c>
      <c r="G98" s="16" t="s">
        <v>278</v>
      </c>
      <c r="H98" s="14" t="s">
        <v>415</v>
      </c>
      <c r="I98" s="13">
        <v>49</v>
      </c>
      <c r="J98" s="13" t="s">
        <v>29</v>
      </c>
      <c r="L98" s="16">
        <v>2</v>
      </c>
      <c r="M98" s="13">
        <f t="shared" si="1"/>
        <v>1</v>
      </c>
      <c r="N98" s="13">
        <v>0</v>
      </c>
      <c r="O98" s="13">
        <f t="shared" si="2"/>
        <v>0</v>
      </c>
      <c r="P98" s="13">
        <f t="shared" si="3"/>
        <v>2</v>
      </c>
      <c r="Q98" s="13">
        <f t="shared" si="4"/>
        <v>1</v>
      </c>
      <c r="AD98" s="20">
        <f t="shared" si="6"/>
        <v>0</v>
      </c>
      <c r="AE98" s="13" t="s">
        <v>57</v>
      </c>
      <c r="AF98" s="13">
        <v>1852</v>
      </c>
      <c r="AH98" s="16" t="s">
        <v>144</v>
      </c>
      <c r="AI98" s="13">
        <v>8.6999999999999993</v>
      </c>
      <c r="AJ98" s="13" t="s">
        <v>153</v>
      </c>
      <c r="AK98" s="13" t="s">
        <v>91</v>
      </c>
      <c r="AL98" s="14" t="s">
        <v>146</v>
      </c>
    </row>
    <row r="99" spans="1:39">
      <c r="A99" s="1">
        <v>97</v>
      </c>
      <c r="B99" s="16" t="s">
        <v>107</v>
      </c>
      <c r="C99" s="13" t="s">
        <v>24</v>
      </c>
      <c r="D99" s="14">
        <v>2008</v>
      </c>
      <c r="E99" s="21">
        <v>11.58</v>
      </c>
      <c r="F99" s="15">
        <v>2</v>
      </c>
      <c r="G99" s="16" t="s">
        <v>279</v>
      </c>
      <c r="H99" s="14" t="s">
        <v>416</v>
      </c>
      <c r="I99" s="13">
        <v>60</v>
      </c>
      <c r="J99" s="13" t="s">
        <v>29</v>
      </c>
      <c r="K99" s="13" t="s">
        <v>62</v>
      </c>
      <c r="L99" s="16">
        <v>1</v>
      </c>
      <c r="M99" s="13">
        <f t="shared" si="1"/>
        <v>0.5</v>
      </c>
      <c r="N99" s="13">
        <v>0</v>
      </c>
      <c r="O99" s="13">
        <f t="shared" si="2"/>
        <v>0</v>
      </c>
      <c r="P99" s="13">
        <f t="shared" si="3"/>
        <v>1</v>
      </c>
      <c r="Q99" s="13">
        <f t="shared" si="4"/>
        <v>0.5</v>
      </c>
      <c r="R99" s="18">
        <v>1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20">
        <f t="shared" si="6"/>
        <v>1</v>
      </c>
      <c r="AE99" s="13" t="s">
        <v>156</v>
      </c>
      <c r="AH99" s="16" t="s">
        <v>144</v>
      </c>
      <c r="AI99" s="13">
        <v>8.9</v>
      </c>
      <c r="AJ99" s="13" t="s">
        <v>154</v>
      </c>
      <c r="AK99" s="13" t="s">
        <v>91</v>
      </c>
      <c r="AL99" s="14" t="s">
        <v>146</v>
      </c>
    </row>
    <row r="100" spans="1:39">
      <c r="A100" s="1">
        <v>98</v>
      </c>
      <c r="B100" s="16" t="s">
        <v>107</v>
      </c>
      <c r="C100" s="13" t="s">
        <v>24</v>
      </c>
      <c r="D100" s="14">
        <v>2008</v>
      </c>
      <c r="E100" s="21">
        <v>12.07</v>
      </c>
      <c r="F100" s="15">
        <v>2</v>
      </c>
      <c r="G100" s="16" t="s">
        <v>280</v>
      </c>
      <c r="H100" s="14" t="s">
        <v>417</v>
      </c>
      <c r="I100" s="13">
        <v>69</v>
      </c>
      <c r="J100" s="13" t="s">
        <v>29</v>
      </c>
      <c r="L100" s="16">
        <v>1</v>
      </c>
      <c r="M100" s="13">
        <f t="shared" si="1"/>
        <v>0.5</v>
      </c>
      <c r="N100" s="13">
        <v>0</v>
      </c>
      <c r="O100" s="13">
        <f t="shared" si="2"/>
        <v>0</v>
      </c>
      <c r="P100" s="13">
        <f t="shared" si="3"/>
        <v>1</v>
      </c>
      <c r="Q100" s="13">
        <f t="shared" si="4"/>
        <v>0.5</v>
      </c>
      <c r="AD100" s="20">
        <f t="shared" si="6"/>
        <v>0</v>
      </c>
      <c r="AE100" s="13" t="s">
        <v>57</v>
      </c>
      <c r="AH100" s="16" t="s">
        <v>144</v>
      </c>
      <c r="AK100" s="13" t="s">
        <v>91</v>
      </c>
      <c r="AL100" s="14" t="s">
        <v>146</v>
      </c>
    </row>
    <row r="101" spans="1:39">
      <c r="A101" s="1">
        <v>99</v>
      </c>
      <c r="B101" s="16" t="s">
        <v>107</v>
      </c>
      <c r="C101" s="13" t="s">
        <v>24</v>
      </c>
      <c r="D101" s="14">
        <v>2008</v>
      </c>
      <c r="E101" s="21">
        <v>12.3</v>
      </c>
      <c r="F101" s="15">
        <v>2</v>
      </c>
      <c r="G101" s="16" t="s">
        <v>281</v>
      </c>
      <c r="H101" s="14" t="s">
        <v>418</v>
      </c>
      <c r="I101" s="13">
        <v>69</v>
      </c>
      <c r="J101" s="13" t="s">
        <v>29</v>
      </c>
      <c r="L101" s="16">
        <v>1</v>
      </c>
      <c r="M101" s="13">
        <f t="shared" si="1"/>
        <v>0.5</v>
      </c>
      <c r="N101" s="13">
        <v>0</v>
      </c>
      <c r="O101" s="13">
        <f t="shared" si="2"/>
        <v>0</v>
      </c>
      <c r="P101" s="13">
        <f t="shared" si="3"/>
        <v>1</v>
      </c>
      <c r="Q101" s="13">
        <f t="shared" si="4"/>
        <v>0.5</v>
      </c>
      <c r="AD101" s="20">
        <f t="shared" si="6"/>
        <v>0</v>
      </c>
      <c r="AE101" s="13" t="s">
        <v>57</v>
      </c>
      <c r="AH101" s="16" t="s">
        <v>144</v>
      </c>
      <c r="AK101" s="13" t="s">
        <v>91</v>
      </c>
      <c r="AL101" s="14" t="s">
        <v>146</v>
      </c>
    </row>
    <row r="102" spans="1:39">
      <c r="A102" s="1">
        <v>100</v>
      </c>
      <c r="B102" s="16" t="s">
        <v>107</v>
      </c>
      <c r="C102" s="13" t="s">
        <v>24</v>
      </c>
      <c r="D102" s="14">
        <v>2008</v>
      </c>
      <c r="E102" s="21">
        <v>12.44</v>
      </c>
      <c r="F102" s="15">
        <v>2</v>
      </c>
      <c r="G102" s="16" t="s">
        <v>282</v>
      </c>
      <c r="H102" s="14" t="s">
        <v>419</v>
      </c>
      <c r="I102" s="13">
        <v>86</v>
      </c>
      <c r="J102" s="13" t="s">
        <v>29</v>
      </c>
      <c r="L102" s="16">
        <v>2</v>
      </c>
      <c r="M102" s="13">
        <f t="shared" si="1"/>
        <v>1</v>
      </c>
      <c r="N102" s="13">
        <v>0</v>
      </c>
      <c r="O102" s="13">
        <f t="shared" si="2"/>
        <v>0</v>
      </c>
      <c r="P102" s="13">
        <f t="shared" si="3"/>
        <v>2</v>
      </c>
      <c r="Q102" s="13">
        <f t="shared" si="4"/>
        <v>1</v>
      </c>
      <c r="AD102" s="20">
        <f t="shared" si="6"/>
        <v>0</v>
      </c>
      <c r="AE102" s="13" t="s">
        <v>57</v>
      </c>
      <c r="AH102" s="16" t="s">
        <v>144</v>
      </c>
      <c r="AK102" s="13" t="s">
        <v>91</v>
      </c>
      <c r="AL102" s="14" t="s">
        <v>146</v>
      </c>
      <c r="AM102" s="15" t="s">
        <v>155</v>
      </c>
    </row>
    <row r="103" spans="1:39">
      <c r="A103" s="1">
        <v>101</v>
      </c>
      <c r="B103" s="16" t="s">
        <v>107</v>
      </c>
      <c r="C103" s="13" t="s">
        <v>24</v>
      </c>
      <c r="D103" s="14">
        <v>2008</v>
      </c>
      <c r="E103" s="21">
        <v>12.49</v>
      </c>
      <c r="F103" s="15">
        <v>2</v>
      </c>
      <c r="G103" s="16" t="s">
        <v>283</v>
      </c>
      <c r="H103" s="14" t="s">
        <v>420</v>
      </c>
      <c r="I103" s="13">
        <v>63</v>
      </c>
      <c r="J103" s="13" t="s">
        <v>29</v>
      </c>
      <c r="L103" s="16">
        <v>1</v>
      </c>
      <c r="M103" s="13">
        <f t="shared" si="1"/>
        <v>0.5</v>
      </c>
      <c r="N103" s="13">
        <v>0</v>
      </c>
      <c r="O103" s="13">
        <f t="shared" si="2"/>
        <v>0</v>
      </c>
      <c r="P103" s="13">
        <f t="shared" si="3"/>
        <v>1</v>
      </c>
      <c r="Q103" s="13">
        <f t="shared" si="4"/>
        <v>0.5</v>
      </c>
      <c r="AD103" s="20">
        <f t="shared" si="6"/>
        <v>0</v>
      </c>
      <c r="AE103" s="13" t="s">
        <v>156</v>
      </c>
      <c r="AH103" s="16" t="s">
        <v>144</v>
      </c>
      <c r="AK103" s="13" t="s">
        <v>91</v>
      </c>
      <c r="AL103" s="14" t="s">
        <v>146</v>
      </c>
      <c r="AM103" s="15" t="s">
        <v>157</v>
      </c>
    </row>
    <row r="104" spans="1:39">
      <c r="A104" s="1">
        <v>102</v>
      </c>
      <c r="B104" s="16" t="s">
        <v>107</v>
      </c>
      <c r="C104" s="13" t="s">
        <v>24</v>
      </c>
      <c r="D104" s="14">
        <v>2008</v>
      </c>
      <c r="E104" s="21">
        <v>12.55</v>
      </c>
      <c r="F104" s="15">
        <v>2</v>
      </c>
      <c r="G104" s="16" t="s">
        <v>284</v>
      </c>
      <c r="H104" s="14" t="s">
        <v>421</v>
      </c>
      <c r="I104" s="13">
        <v>70</v>
      </c>
      <c r="J104" s="13" t="s">
        <v>29</v>
      </c>
      <c r="L104" s="16">
        <v>2</v>
      </c>
      <c r="M104" s="13">
        <f t="shared" si="1"/>
        <v>1</v>
      </c>
      <c r="N104" s="13">
        <v>1</v>
      </c>
      <c r="O104" s="13">
        <f t="shared" si="2"/>
        <v>0.5</v>
      </c>
      <c r="P104" s="13">
        <f t="shared" si="3"/>
        <v>3</v>
      </c>
      <c r="Q104" s="13">
        <f t="shared" si="4"/>
        <v>1.5</v>
      </c>
      <c r="AD104" s="20">
        <f t="shared" si="6"/>
        <v>0</v>
      </c>
      <c r="AE104" s="13" t="s">
        <v>57</v>
      </c>
      <c r="AH104" s="16" t="s">
        <v>144</v>
      </c>
      <c r="AK104" s="13" t="s">
        <v>91</v>
      </c>
      <c r="AL104" s="14" t="s">
        <v>146</v>
      </c>
      <c r="AM104" s="15" t="s">
        <v>159</v>
      </c>
    </row>
    <row r="105" spans="1:39">
      <c r="A105" s="1">
        <v>103</v>
      </c>
      <c r="B105" s="16" t="s">
        <v>107</v>
      </c>
      <c r="C105" s="13" t="s">
        <v>24</v>
      </c>
      <c r="D105" s="14">
        <v>2008</v>
      </c>
      <c r="E105" s="21">
        <v>13.3</v>
      </c>
      <c r="F105" s="15">
        <v>2</v>
      </c>
      <c r="G105" s="16" t="s">
        <v>285</v>
      </c>
      <c r="H105" s="14" t="s">
        <v>422</v>
      </c>
      <c r="I105" s="13">
        <v>63</v>
      </c>
      <c r="J105" s="13" t="s">
        <v>29</v>
      </c>
      <c r="L105" s="16">
        <v>1</v>
      </c>
      <c r="M105" s="13">
        <f t="shared" si="1"/>
        <v>0.5</v>
      </c>
      <c r="N105" s="13">
        <v>0</v>
      </c>
      <c r="O105" s="13">
        <f t="shared" si="2"/>
        <v>0</v>
      </c>
      <c r="P105" s="13">
        <f t="shared" si="3"/>
        <v>1</v>
      </c>
      <c r="Q105" s="13">
        <f t="shared" si="4"/>
        <v>0.5</v>
      </c>
      <c r="R105" s="18">
        <v>1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D105" s="20">
        <f t="shared" si="6"/>
        <v>1</v>
      </c>
      <c r="AE105" s="13" t="s">
        <v>57</v>
      </c>
      <c r="AH105" s="16" t="s">
        <v>144</v>
      </c>
      <c r="AI105" s="13">
        <v>9.6999999999999993</v>
      </c>
      <c r="AJ105" s="13" t="s">
        <v>158</v>
      </c>
      <c r="AK105" s="13" t="s">
        <v>91</v>
      </c>
      <c r="AL105" s="14" t="s">
        <v>146</v>
      </c>
      <c r="AM105" s="15" t="s">
        <v>160</v>
      </c>
    </row>
    <row r="106" spans="1:39">
      <c r="A106" s="1">
        <v>104</v>
      </c>
      <c r="B106" s="16" t="s">
        <v>107</v>
      </c>
      <c r="C106" s="13" t="s">
        <v>24</v>
      </c>
      <c r="D106" s="14">
        <v>2008</v>
      </c>
      <c r="E106" s="21">
        <v>14.38</v>
      </c>
      <c r="F106" s="15">
        <v>2</v>
      </c>
      <c r="G106" s="16" t="s">
        <v>286</v>
      </c>
      <c r="H106" s="14" t="s">
        <v>423</v>
      </c>
      <c r="I106" s="13">
        <v>43</v>
      </c>
      <c r="J106" s="13" t="s">
        <v>29</v>
      </c>
      <c r="L106" s="16">
        <v>2</v>
      </c>
      <c r="M106" s="13">
        <f t="shared" si="1"/>
        <v>1</v>
      </c>
      <c r="N106" s="13">
        <v>0</v>
      </c>
      <c r="O106" s="13">
        <f t="shared" si="2"/>
        <v>0</v>
      </c>
      <c r="P106" s="13">
        <f t="shared" si="3"/>
        <v>2</v>
      </c>
      <c r="Q106" s="13">
        <f t="shared" si="4"/>
        <v>1</v>
      </c>
      <c r="R106" s="18">
        <v>2</v>
      </c>
      <c r="S106" s="18">
        <v>0</v>
      </c>
      <c r="T106" s="18">
        <v>0</v>
      </c>
      <c r="U106" s="18">
        <v>0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D106" s="20">
        <f t="shared" si="6"/>
        <v>2</v>
      </c>
      <c r="AE106" s="13" t="s">
        <v>57</v>
      </c>
      <c r="AH106" s="16" t="s">
        <v>144</v>
      </c>
      <c r="AK106" s="13" t="s">
        <v>91</v>
      </c>
      <c r="AL106" s="14" t="s">
        <v>146</v>
      </c>
    </row>
    <row r="107" spans="1:39">
      <c r="A107" s="1">
        <v>105</v>
      </c>
      <c r="B107" s="16" t="s">
        <v>107</v>
      </c>
      <c r="C107" s="13" t="s">
        <v>24</v>
      </c>
      <c r="D107" s="14">
        <v>2008</v>
      </c>
      <c r="E107" s="21">
        <v>14.4</v>
      </c>
      <c r="F107" s="15">
        <v>2</v>
      </c>
      <c r="G107" s="16" t="s">
        <v>287</v>
      </c>
      <c r="H107" s="14" t="s">
        <v>424</v>
      </c>
      <c r="I107" s="13">
        <v>40</v>
      </c>
      <c r="J107" s="13" t="s">
        <v>29</v>
      </c>
      <c r="L107" s="16">
        <v>1</v>
      </c>
      <c r="M107" s="13">
        <f t="shared" si="1"/>
        <v>0.5</v>
      </c>
      <c r="N107" s="13">
        <v>0</v>
      </c>
      <c r="O107" s="13">
        <f t="shared" si="2"/>
        <v>0</v>
      </c>
      <c r="P107" s="13">
        <f t="shared" si="3"/>
        <v>1</v>
      </c>
      <c r="Q107" s="13">
        <f t="shared" si="4"/>
        <v>0.5</v>
      </c>
      <c r="AD107" s="20">
        <f t="shared" si="6"/>
        <v>0</v>
      </c>
      <c r="AE107" s="13" t="s">
        <v>57</v>
      </c>
      <c r="AF107" s="13">
        <v>300</v>
      </c>
      <c r="AH107" s="16" t="s">
        <v>144</v>
      </c>
      <c r="AK107" s="13" t="s">
        <v>91</v>
      </c>
      <c r="AL107" s="14" t="s">
        <v>146</v>
      </c>
    </row>
    <row r="108" spans="1:39">
      <c r="A108" s="1">
        <v>106</v>
      </c>
      <c r="B108" s="16" t="s">
        <v>107</v>
      </c>
      <c r="C108" s="13" t="s">
        <v>24</v>
      </c>
      <c r="D108" s="14">
        <v>2008</v>
      </c>
      <c r="E108" s="21">
        <v>15.2</v>
      </c>
      <c r="F108" s="15">
        <v>2</v>
      </c>
      <c r="G108" s="16" t="s">
        <v>288</v>
      </c>
      <c r="H108" s="14" t="s">
        <v>425</v>
      </c>
      <c r="I108" s="13">
        <v>41</v>
      </c>
      <c r="J108" s="13" t="s">
        <v>29</v>
      </c>
      <c r="L108" s="16">
        <v>1</v>
      </c>
      <c r="M108" s="13">
        <f t="shared" si="1"/>
        <v>0.5</v>
      </c>
      <c r="N108" s="13">
        <v>0</v>
      </c>
      <c r="O108" s="13">
        <f t="shared" si="2"/>
        <v>0</v>
      </c>
      <c r="P108" s="13">
        <f t="shared" si="3"/>
        <v>1</v>
      </c>
      <c r="Q108" s="13">
        <f t="shared" si="4"/>
        <v>0.5</v>
      </c>
      <c r="R108" s="18">
        <v>1</v>
      </c>
      <c r="S108" s="18">
        <v>0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D108" s="20">
        <f t="shared" si="6"/>
        <v>1</v>
      </c>
      <c r="AE108" s="13" t="s">
        <v>197</v>
      </c>
      <c r="AH108" s="16" t="s">
        <v>144</v>
      </c>
      <c r="AK108" s="13" t="s">
        <v>91</v>
      </c>
      <c r="AL108" s="14" t="s">
        <v>146</v>
      </c>
    </row>
    <row r="109" spans="1:39">
      <c r="A109" s="1">
        <v>107</v>
      </c>
      <c r="B109" s="16" t="s">
        <v>107</v>
      </c>
      <c r="C109" s="13" t="s">
        <v>24</v>
      </c>
      <c r="D109" s="14">
        <v>2008</v>
      </c>
      <c r="E109" s="21">
        <v>15.3</v>
      </c>
      <c r="F109" s="15">
        <v>2</v>
      </c>
      <c r="G109" s="16" t="s">
        <v>289</v>
      </c>
      <c r="H109" s="14" t="s">
        <v>426</v>
      </c>
      <c r="I109" s="13">
        <v>8</v>
      </c>
      <c r="J109" s="13" t="s">
        <v>29</v>
      </c>
      <c r="L109" s="16">
        <v>1</v>
      </c>
      <c r="M109" s="13">
        <f t="shared" si="1"/>
        <v>0.5</v>
      </c>
      <c r="N109" s="13">
        <v>0</v>
      </c>
      <c r="O109" s="13">
        <f t="shared" si="2"/>
        <v>0</v>
      </c>
      <c r="P109" s="13">
        <f t="shared" si="3"/>
        <v>1</v>
      </c>
      <c r="Q109" s="13">
        <f t="shared" si="4"/>
        <v>0.5</v>
      </c>
      <c r="AD109" s="20">
        <f t="shared" si="6"/>
        <v>0</v>
      </c>
      <c r="AG109" s="14" t="s">
        <v>60</v>
      </c>
      <c r="AH109" s="16" t="s">
        <v>144</v>
      </c>
      <c r="AK109" s="13" t="s">
        <v>91</v>
      </c>
      <c r="AL109" s="14" t="s">
        <v>146</v>
      </c>
    </row>
    <row r="110" spans="1:39">
      <c r="A110" s="1">
        <v>108</v>
      </c>
      <c r="B110" s="16" t="s">
        <v>107</v>
      </c>
      <c r="C110" s="13" t="s">
        <v>24</v>
      </c>
      <c r="D110" s="14">
        <v>2008</v>
      </c>
      <c r="E110" s="21">
        <v>15.43</v>
      </c>
      <c r="F110" s="15">
        <v>2</v>
      </c>
      <c r="G110" s="16" t="s">
        <v>290</v>
      </c>
      <c r="H110" s="14" t="s">
        <v>427</v>
      </c>
      <c r="I110" s="13">
        <v>52</v>
      </c>
      <c r="J110" s="13" t="s">
        <v>29</v>
      </c>
      <c r="L110" s="16">
        <v>2</v>
      </c>
      <c r="M110" s="13">
        <f t="shared" si="1"/>
        <v>1</v>
      </c>
      <c r="N110" s="13">
        <v>0</v>
      </c>
      <c r="O110" s="13">
        <f t="shared" si="2"/>
        <v>0</v>
      </c>
      <c r="P110" s="13">
        <f t="shared" si="3"/>
        <v>2</v>
      </c>
      <c r="Q110" s="13">
        <f t="shared" si="4"/>
        <v>1</v>
      </c>
      <c r="R110" s="18">
        <v>2</v>
      </c>
      <c r="S110" s="18">
        <v>0</v>
      </c>
      <c r="T110" s="18">
        <v>0</v>
      </c>
      <c r="U110" s="18">
        <v>0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18">
        <v>0</v>
      </c>
      <c r="AB110" s="18">
        <v>0</v>
      </c>
      <c r="AC110" s="18">
        <v>0</v>
      </c>
      <c r="AD110" s="20">
        <f t="shared" si="6"/>
        <v>2</v>
      </c>
      <c r="AE110" s="13" t="s">
        <v>197</v>
      </c>
      <c r="AH110" s="16" t="s">
        <v>144</v>
      </c>
      <c r="AK110" s="13" t="s">
        <v>91</v>
      </c>
      <c r="AL110" s="14" t="s">
        <v>146</v>
      </c>
    </row>
    <row r="111" spans="1:39">
      <c r="A111" s="1">
        <v>109</v>
      </c>
      <c r="B111" s="16" t="s">
        <v>107</v>
      </c>
      <c r="C111" s="13" t="s">
        <v>24</v>
      </c>
      <c r="D111" s="14">
        <v>2008</v>
      </c>
      <c r="E111" s="21">
        <v>15.47</v>
      </c>
      <c r="F111" s="15">
        <v>2</v>
      </c>
      <c r="G111" s="16" t="s">
        <v>291</v>
      </c>
      <c r="H111" s="14" t="s">
        <v>428</v>
      </c>
      <c r="I111" s="13">
        <v>47</v>
      </c>
      <c r="J111" s="13" t="s">
        <v>29</v>
      </c>
      <c r="L111" s="16">
        <v>4</v>
      </c>
      <c r="M111" s="13">
        <f t="shared" si="1"/>
        <v>2</v>
      </c>
      <c r="N111" s="13">
        <v>1</v>
      </c>
      <c r="O111" s="13">
        <f t="shared" si="2"/>
        <v>0.5</v>
      </c>
      <c r="P111" s="13">
        <f t="shared" si="3"/>
        <v>5</v>
      </c>
      <c r="Q111" s="13">
        <f t="shared" si="4"/>
        <v>2.5</v>
      </c>
      <c r="R111" s="18">
        <v>1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  <c r="X111" s="18">
        <v>0</v>
      </c>
      <c r="Y111" s="18">
        <v>1</v>
      </c>
      <c r="Z111" s="18">
        <v>0</v>
      </c>
      <c r="AA111" s="18">
        <v>0</v>
      </c>
      <c r="AB111" s="18">
        <v>0</v>
      </c>
      <c r="AC111" s="18">
        <v>0</v>
      </c>
      <c r="AD111" s="20">
        <f t="shared" si="6"/>
        <v>2</v>
      </c>
      <c r="AH111" s="16" t="s">
        <v>144</v>
      </c>
      <c r="AI111" s="13">
        <v>10</v>
      </c>
      <c r="AJ111" s="13" t="s">
        <v>158</v>
      </c>
      <c r="AK111" s="13" t="s">
        <v>91</v>
      </c>
      <c r="AL111" s="14" t="s">
        <v>146</v>
      </c>
    </row>
    <row r="112" spans="1:39">
      <c r="A112" s="1">
        <v>110</v>
      </c>
      <c r="B112" s="16" t="s">
        <v>107</v>
      </c>
      <c r="C112" s="13" t="s">
        <v>24</v>
      </c>
      <c r="D112" s="14">
        <v>2008</v>
      </c>
      <c r="E112" s="21">
        <v>16.489999999999998</v>
      </c>
      <c r="F112" s="15">
        <v>2</v>
      </c>
      <c r="G112" s="16" t="s">
        <v>292</v>
      </c>
      <c r="H112" s="14" t="s">
        <v>429</v>
      </c>
      <c r="I112" s="13">
        <v>22</v>
      </c>
      <c r="J112" s="13" t="s">
        <v>29</v>
      </c>
      <c r="L112" s="16">
        <v>4</v>
      </c>
      <c r="M112" s="13">
        <f t="shared" si="1"/>
        <v>2</v>
      </c>
      <c r="N112" s="13">
        <v>0</v>
      </c>
      <c r="O112" s="13">
        <f t="shared" si="2"/>
        <v>0</v>
      </c>
      <c r="P112" s="13">
        <f t="shared" si="3"/>
        <v>4</v>
      </c>
      <c r="Q112" s="13">
        <f t="shared" si="4"/>
        <v>2</v>
      </c>
      <c r="R112" s="18">
        <v>0</v>
      </c>
      <c r="S112" s="18">
        <v>1</v>
      </c>
      <c r="T112" s="18">
        <v>0</v>
      </c>
      <c r="U112" s="18">
        <v>0</v>
      </c>
      <c r="V112" s="18">
        <v>0</v>
      </c>
      <c r="W112" s="18">
        <v>0</v>
      </c>
      <c r="X112" s="18">
        <v>0</v>
      </c>
      <c r="Y112" s="18">
        <v>0</v>
      </c>
      <c r="Z112" s="18">
        <v>0</v>
      </c>
      <c r="AA112" s="18">
        <v>0</v>
      </c>
      <c r="AB112" s="18">
        <v>0</v>
      </c>
      <c r="AC112" s="18">
        <v>0</v>
      </c>
      <c r="AD112" s="20">
        <f t="shared" si="6"/>
        <v>1</v>
      </c>
      <c r="AH112" s="16" t="s">
        <v>144</v>
      </c>
      <c r="AI112" s="13">
        <v>8.6999999999999993</v>
      </c>
      <c r="AJ112" s="13" t="s">
        <v>161</v>
      </c>
      <c r="AK112" s="13" t="s">
        <v>91</v>
      </c>
      <c r="AL112" s="14" t="s">
        <v>146</v>
      </c>
    </row>
    <row r="113" spans="1:39">
      <c r="A113" s="1">
        <v>111</v>
      </c>
      <c r="B113" s="16" t="s">
        <v>107</v>
      </c>
      <c r="C113" s="13" t="s">
        <v>24</v>
      </c>
      <c r="D113" s="14">
        <v>2008</v>
      </c>
      <c r="E113" s="21">
        <v>16.52</v>
      </c>
      <c r="F113" s="15">
        <v>2</v>
      </c>
      <c r="G113" s="16" t="s">
        <v>293</v>
      </c>
      <c r="H113" s="14" t="s">
        <v>430</v>
      </c>
      <c r="I113" s="13">
        <v>8</v>
      </c>
      <c r="J113" s="13" t="s">
        <v>29</v>
      </c>
      <c r="K113" s="13" t="s">
        <v>162</v>
      </c>
      <c r="L113" s="16">
        <v>4</v>
      </c>
      <c r="M113" s="13">
        <f t="shared" si="1"/>
        <v>2</v>
      </c>
      <c r="N113" s="13">
        <v>3</v>
      </c>
      <c r="O113" s="13">
        <f t="shared" si="2"/>
        <v>1.5</v>
      </c>
      <c r="P113" s="13">
        <f t="shared" si="3"/>
        <v>7</v>
      </c>
      <c r="Q113" s="13">
        <f t="shared" si="4"/>
        <v>3.5</v>
      </c>
      <c r="AD113" s="20">
        <f t="shared" si="6"/>
        <v>0</v>
      </c>
      <c r="AH113" s="16" t="s">
        <v>144</v>
      </c>
      <c r="AK113" s="13" t="s">
        <v>91</v>
      </c>
      <c r="AL113" s="14" t="s">
        <v>146</v>
      </c>
      <c r="AM113" s="15" t="s">
        <v>163</v>
      </c>
    </row>
    <row r="114" spans="1:39">
      <c r="A114" s="1">
        <v>112</v>
      </c>
      <c r="B114" s="16" t="s">
        <v>107</v>
      </c>
      <c r="C114" s="13" t="s">
        <v>24</v>
      </c>
      <c r="D114" s="14">
        <v>2008</v>
      </c>
      <c r="E114" s="21">
        <v>16.579999999999998</v>
      </c>
      <c r="F114" s="15">
        <v>2</v>
      </c>
      <c r="G114" s="16" t="s">
        <v>294</v>
      </c>
      <c r="H114" s="14" t="s">
        <v>430</v>
      </c>
      <c r="I114" s="13">
        <v>8</v>
      </c>
      <c r="J114" s="13" t="s">
        <v>29</v>
      </c>
      <c r="L114" s="16">
        <v>2</v>
      </c>
      <c r="M114" s="13">
        <f t="shared" si="1"/>
        <v>1</v>
      </c>
      <c r="N114" s="13">
        <v>2</v>
      </c>
      <c r="O114" s="13">
        <f t="shared" si="2"/>
        <v>1</v>
      </c>
      <c r="P114" s="13">
        <f t="shared" si="3"/>
        <v>4</v>
      </c>
      <c r="Q114" s="13">
        <f t="shared" si="4"/>
        <v>2</v>
      </c>
      <c r="AD114" s="20">
        <f t="shared" si="6"/>
        <v>0</v>
      </c>
      <c r="AH114" s="16" t="s">
        <v>144</v>
      </c>
      <c r="AK114" s="13" t="s">
        <v>91</v>
      </c>
      <c r="AL114" s="14" t="s">
        <v>146</v>
      </c>
      <c r="AM114" s="15" t="s">
        <v>164</v>
      </c>
    </row>
    <row r="115" spans="1:39">
      <c r="A115" s="1">
        <v>113</v>
      </c>
      <c r="B115" s="16" t="s">
        <v>108</v>
      </c>
      <c r="C115" s="13" t="s">
        <v>24</v>
      </c>
      <c r="D115" s="14">
        <v>2008</v>
      </c>
      <c r="E115" s="21">
        <v>6.5</v>
      </c>
      <c r="F115" s="15">
        <v>2</v>
      </c>
      <c r="G115" s="16" t="s">
        <v>295</v>
      </c>
      <c r="H115" s="14" t="s">
        <v>431</v>
      </c>
      <c r="I115" s="13">
        <v>26</v>
      </c>
      <c r="J115" s="13" t="s">
        <v>29</v>
      </c>
      <c r="K115" s="13" t="s">
        <v>171</v>
      </c>
      <c r="L115" s="16">
        <v>1</v>
      </c>
      <c r="M115" s="13">
        <f t="shared" si="1"/>
        <v>0.5</v>
      </c>
      <c r="N115" s="13">
        <v>0</v>
      </c>
      <c r="O115" s="13">
        <f t="shared" si="2"/>
        <v>0</v>
      </c>
      <c r="P115" s="13">
        <f t="shared" si="3"/>
        <v>1</v>
      </c>
      <c r="Q115" s="13">
        <f t="shared" si="4"/>
        <v>0.5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1</v>
      </c>
      <c r="X115" s="18">
        <v>0</v>
      </c>
      <c r="Y115" s="18">
        <v>0</v>
      </c>
      <c r="Z115" s="18">
        <v>0</v>
      </c>
      <c r="AA115" s="18">
        <v>0</v>
      </c>
      <c r="AB115" s="18">
        <v>0</v>
      </c>
      <c r="AC115" s="18">
        <v>0</v>
      </c>
      <c r="AD115" s="20">
        <f t="shared" si="6"/>
        <v>1</v>
      </c>
      <c r="AE115" s="13" t="s">
        <v>57</v>
      </c>
      <c r="AF115" s="13">
        <v>300</v>
      </c>
      <c r="AH115" s="16" t="s">
        <v>165</v>
      </c>
      <c r="AI115" s="13">
        <v>11.1</v>
      </c>
      <c r="AJ115" s="13" t="s">
        <v>172</v>
      </c>
      <c r="AK115" s="13" t="s">
        <v>91</v>
      </c>
      <c r="AL115" s="14" t="s">
        <v>167</v>
      </c>
    </row>
    <row r="116" spans="1:39">
      <c r="A116" s="1">
        <v>114</v>
      </c>
      <c r="B116" s="16" t="s">
        <v>108</v>
      </c>
      <c r="C116" s="13" t="s">
        <v>24</v>
      </c>
      <c r="D116" s="14">
        <v>2008</v>
      </c>
      <c r="E116" s="21">
        <v>7</v>
      </c>
      <c r="F116" s="15">
        <v>2</v>
      </c>
      <c r="G116" s="16" t="s">
        <v>296</v>
      </c>
      <c r="H116" s="14" t="s">
        <v>432</v>
      </c>
      <c r="I116" s="13">
        <v>15</v>
      </c>
      <c r="J116" s="13" t="s">
        <v>29</v>
      </c>
      <c r="L116" s="16">
        <v>1</v>
      </c>
      <c r="M116" s="13">
        <f t="shared" si="1"/>
        <v>0.5</v>
      </c>
      <c r="N116" s="13">
        <v>0</v>
      </c>
      <c r="O116" s="13">
        <f t="shared" si="2"/>
        <v>0</v>
      </c>
      <c r="P116" s="13">
        <f t="shared" si="3"/>
        <v>1</v>
      </c>
      <c r="Q116" s="13">
        <f t="shared" si="4"/>
        <v>0.5</v>
      </c>
      <c r="R116" s="18">
        <v>1</v>
      </c>
      <c r="S116" s="18">
        <v>0</v>
      </c>
      <c r="T116" s="18">
        <v>0</v>
      </c>
      <c r="U116" s="18">
        <v>0</v>
      </c>
      <c r="V116" s="18">
        <v>0</v>
      </c>
      <c r="W116" s="18">
        <v>0</v>
      </c>
      <c r="X116" s="18">
        <v>0</v>
      </c>
      <c r="Y116" s="18">
        <v>0</v>
      </c>
      <c r="Z116" s="18">
        <v>0</v>
      </c>
      <c r="AA116" s="18">
        <v>0</v>
      </c>
      <c r="AB116" s="18">
        <v>0</v>
      </c>
      <c r="AC116" s="18">
        <v>0</v>
      </c>
      <c r="AD116" s="20">
        <f t="shared" si="6"/>
        <v>1</v>
      </c>
      <c r="AE116" s="13" t="s">
        <v>57</v>
      </c>
      <c r="AF116" s="13">
        <v>500</v>
      </c>
      <c r="AH116" s="16" t="s">
        <v>165</v>
      </c>
      <c r="AI116" s="13">
        <v>10.199999999999999</v>
      </c>
      <c r="AJ116" s="13" t="s">
        <v>173</v>
      </c>
      <c r="AK116" s="13" t="s">
        <v>91</v>
      </c>
      <c r="AL116" s="14" t="s">
        <v>167</v>
      </c>
    </row>
    <row r="117" spans="1:39">
      <c r="A117" s="1">
        <v>115</v>
      </c>
      <c r="B117" s="16" t="s">
        <v>108</v>
      </c>
      <c r="C117" s="13" t="s">
        <v>24</v>
      </c>
      <c r="D117" s="14">
        <v>2008</v>
      </c>
      <c r="E117" s="21">
        <v>8.02</v>
      </c>
      <c r="F117" s="15">
        <v>2</v>
      </c>
      <c r="G117" s="16" t="s">
        <v>297</v>
      </c>
      <c r="H117" s="14" t="s">
        <v>433</v>
      </c>
      <c r="I117" s="13">
        <v>24</v>
      </c>
      <c r="J117" s="13" t="s">
        <v>29</v>
      </c>
      <c r="L117" s="16">
        <v>1</v>
      </c>
      <c r="M117" s="13">
        <f t="shared" si="1"/>
        <v>0.5</v>
      </c>
      <c r="N117" s="13">
        <v>1</v>
      </c>
      <c r="O117" s="13">
        <f t="shared" si="2"/>
        <v>0.5</v>
      </c>
      <c r="P117" s="13">
        <f t="shared" si="3"/>
        <v>2</v>
      </c>
      <c r="Q117" s="13">
        <f t="shared" si="4"/>
        <v>1</v>
      </c>
      <c r="R117" s="18">
        <v>2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18">
        <v>0</v>
      </c>
      <c r="AC117" s="18">
        <v>0</v>
      </c>
      <c r="AD117" s="20">
        <f t="shared" si="6"/>
        <v>2</v>
      </c>
      <c r="AE117" s="13" t="s">
        <v>197</v>
      </c>
      <c r="AF117" s="13">
        <v>1852</v>
      </c>
      <c r="AH117" s="16" t="s">
        <v>165</v>
      </c>
      <c r="AK117" s="13" t="s">
        <v>91</v>
      </c>
      <c r="AL117" s="14" t="s">
        <v>167</v>
      </c>
    </row>
    <row r="118" spans="1:39">
      <c r="A118" s="1">
        <v>116</v>
      </c>
      <c r="B118" s="16" t="s">
        <v>108</v>
      </c>
      <c r="C118" s="13" t="s">
        <v>24</v>
      </c>
      <c r="D118" s="14">
        <v>2008</v>
      </c>
      <c r="E118" s="21">
        <v>8.08</v>
      </c>
      <c r="F118" s="15">
        <v>2</v>
      </c>
      <c r="G118" s="16" t="s">
        <v>298</v>
      </c>
      <c r="H118" s="14" t="s">
        <v>434</v>
      </c>
      <c r="I118" s="13">
        <v>24</v>
      </c>
      <c r="J118" s="13" t="s">
        <v>29</v>
      </c>
      <c r="L118" s="16">
        <v>1</v>
      </c>
      <c r="M118" s="13">
        <f t="shared" si="1"/>
        <v>0.5</v>
      </c>
      <c r="N118" s="13">
        <v>0</v>
      </c>
      <c r="O118" s="13">
        <f t="shared" si="2"/>
        <v>0</v>
      </c>
      <c r="P118" s="13">
        <f t="shared" si="3"/>
        <v>1</v>
      </c>
      <c r="Q118" s="13">
        <f t="shared" si="4"/>
        <v>0.5</v>
      </c>
      <c r="R118" s="18">
        <v>0</v>
      </c>
      <c r="S118" s="18">
        <v>1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18">
        <v>0</v>
      </c>
      <c r="AB118" s="18">
        <v>0</v>
      </c>
      <c r="AC118" s="18">
        <v>0</v>
      </c>
      <c r="AD118" s="20">
        <f t="shared" si="6"/>
        <v>1</v>
      </c>
      <c r="AE118" s="13" t="s">
        <v>57</v>
      </c>
      <c r="AF118" s="13">
        <v>800</v>
      </c>
      <c r="AH118" s="16" t="s">
        <v>165</v>
      </c>
      <c r="AI118" s="13">
        <v>8.8000000000000007</v>
      </c>
      <c r="AJ118" s="13">
        <v>264</v>
      </c>
      <c r="AK118" s="13" t="s">
        <v>91</v>
      </c>
      <c r="AL118" s="14" t="s">
        <v>167</v>
      </c>
    </row>
    <row r="119" spans="1:39">
      <c r="A119" s="1">
        <v>117</v>
      </c>
      <c r="B119" s="16" t="s">
        <v>108</v>
      </c>
      <c r="C119" s="13" t="s">
        <v>24</v>
      </c>
      <c r="D119" s="14">
        <v>2008</v>
      </c>
      <c r="E119" s="21">
        <v>8.1999999999999993</v>
      </c>
      <c r="F119" s="15">
        <v>2</v>
      </c>
      <c r="G119" s="16" t="s">
        <v>299</v>
      </c>
      <c r="H119" s="14" t="s">
        <v>435</v>
      </c>
      <c r="I119" s="13">
        <v>24</v>
      </c>
      <c r="J119" s="13" t="s">
        <v>29</v>
      </c>
      <c r="L119" s="16">
        <v>1</v>
      </c>
      <c r="M119" s="13">
        <f t="shared" si="1"/>
        <v>0.5</v>
      </c>
      <c r="N119" s="13">
        <v>0</v>
      </c>
      <c r="O119" s="13">
        <f t="shared" si="2"/>
        <v>0</v>
      </c>
      <c r="P119" s="13">
        <f t="shared" si="3"/>
        <v>1</v>
      </c>
      <c r="Q119" s="13">
        <f t="shared" si="4"/>
        <v>0.5</v>
      </c>
      <c r="R119" s="18">
        <v>0</v>
      </c>
      <c r="S119" s="18">
        <v>1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18">
        <v>0</v>
      </c>
      <c r="AB119" s="18">
        <v>0</v>
      </c>
      <c r="AC119" s="18">
        <v>0</v>
      </c>
      <c r="AD119" s="20">
        <f t="shared" si="6"/>
        <v>1</v>
      </c>
      <c r="AE119" s="13" t="s">
        <v>57</v>
      </c>
      <c r="AF119" s="13">
        <v>800</v>
      </c>
      <c r="AH119" s="16" t="s">
        <v>165</v>
      </c>
      <c r="AI119" s="13">
        <v>9.1999999999999993</v>
      </c>
      <c r="AJ119" s="13">
        <v>166</v>
      </c>
      <c r="AK119" s="13" t="s">
        <v>91</v>
      </c>
      <c r="AL119" s="14" t="s">
        <v>167</v>
      </c>
    </row>
    <row r="120" spans="1:39">
      <c r="A120" s="1">
        <v>118</v>
      </c>
      <c r="B120" s="16" t="s">
        <v>108</v>
      </c>
      <c r="C120" s="13" t="s">
        <v>24</v>
      </c>
      <c r="D120" s="14">
        <v>2008</v>
      </c>
      <c r="E120" s="21">
        <v>8.25</v>
      </c>
      <c r="F120" s="15">
        <v>2</v>
      </c>
      <c r="G120" s="16" t="s">
        <v>300</v>
      </c>
      <c r="H120" s="14" t="s">
        <v>436</v>
      </c>
      <c r="I120" s="13">
        <v>20</v>
      </c>
      <c r="J120" s="13" t="s">
        <v>29</v>
      </c>
      <c r="L120" s="16">
        <v>3</v>
      </c>
      <c r="M120" s="13">
        <f t="shared" si="1"/>
        <v>1.5</v>
      </c>
      <c r="N120" s="13">
        <v>0</v>
      </c>
      <c r="O120" s="13">
        <f t="shared" si="2"/>
        <v>0</v>
      </c>
      <c r="P120" s="13">
        <f t="shared" si="3"/>
        <v>3</v>
      </c>
      <c r="Q120" s="13">
        <f t="shared" si="4"/>
        <v>1.5</v>
      </c>
      <c r="R120" s="18">
        <v>1</v>
      </c>
      <c r="S120" s="18">
        <v>0</v>
      </c>
      <c r="T120" s="18">
        <v>0</v>
      </c>
      <c r="U120" s="18">
        <v>0</v>
      </c>
      <c r="V120" s="18">
        <v>0</v>
      </c>
      <c r="W120" s="18">
        <v>0</v>
      </c>
      <c r="X120" s="18">
        <v>0</v>
      </c>
      <c r="Y120" s="18">
        <v>0</v>
      </c>
      <c r="Z120" s="18">
        <v>0</v>
      </c>
      <c r="AA120" s="18">
        <v>0</v>
      </c>
      <c r="AB120" s="18">
        <v>0</v>
      </c>
      <c r="AC120" s="18">
        <v>0</v>
      </c>
      <c r="AD120" s="20">
        <f t="shared" si="6"/>
        <v>1</v>
      </c>
      <c r="AE120" s="13" t="s">
        <v>156</v>
      </c>
      <c r="AF120" s="13">
        <v>1852</v>
      </c>
      <c r="AH120" s="16" t="s">
        <v>165</v>
      </c>
      <c r="AK120" s="13" t="s">
        <v>91</v>
      </c>
      <c r="AL120" s="14" t="s">
        <v>167</v>
      </c>
    </row>
    <row r="121" spans="1:39">
      <c r="A121" s="1">
        <v>119</v>
      </c>
      <c r="B121" s="16" t="s">
        <v>108</v>
      </c>
      <c r="C121" s="13" t="s">
        <v>24</v>
      </c>
      <c r="D121" s="14">
        <v>2008</v>
      </c>
      <c r="E121" s="21">
        <v>8.2899999999999991</v>
      </c>
      <c r="F121" s="15">
        <v>2</v>
      </c>
      <c r="G121" s="24" t="s">
        <v>301</v>
      </c>
      <c r="H121" s="14" t="s">
        <v>437</v>
      </c>
      <c r="I121" s="13">
        <v>20</v>
      </c>
      <c r="J121" s="13" t="s">
        <v>29</v>
      </c>
      <c r="L121" s="16">
        <v>2</v>
      </c>
      <c r="M121" s="13">
        <f t="shared" si="1"/>
        <v>1</v>
      </c>
      <c r="N121" s="13">
        <v>0</v>
      </c>
      <c r="O121" s="13">
        <f t="shared" si="2"/>
        <v>0</v>
      </c>
      <c r="P121" s="13">
        <f t="shared" si="3"/>
        <v>2</v>
      </c>
      <c r="Q121" s="13">
        <f t="shared" si="4"/>
        <v>1</v>
      </c>
      <c r="R121" s="18">
        <v>0</v>
      </c>
      <c r="S121" s="18">
        <v>0</v>
      </c>
      <c r="T121" s="18">
        <v>0</v>
      </c>
      <c r="U121" s="18">
        <v>0</v>
      </c>
      <c r="V121" s="18">
        <v>0</v>
      </c>
      <c r="W121" s="18">
        <v>2</v>
      </c>
      <c r="X121" s="18">
        <v>0</v>
      </c>
      <c r="Y121" s="18">
        <v>0</v>
      </c>
      <c r="Z121" s="18">
        <v>0</v>
      </c>
      <c r="AA121" s="18">
        <v>0</v>
      </c>
      <c r="AB121" s="18">
        <v>0</v>
      </c>
      <c r="AC121" s="18">
        <v>0</v>
      </c>
      <c r="AD121" s="20">
        <f t="shared" si="6"/>
        <v>2</v>
      </c>
      <c r="AE121" s="13" t="s">
        <v>57</v>
      </c>
      <c r="AH121" s="16" t="s">
        <v>165</v>
      </c>
      <c r="AK121" s="13" t="s">
        <v>91</v>
      </c>
      <c r="AL121" s="14" t="s">
        <v>140</v>
      </c>
    </row>
    <row r="122" spans="1:39">
      <c r="A122" s="1">
        <v>120</v>
      </c>
      <c r="B122" s="16" t="s">
        <v>108</v>
      </c>
      <c r="C122" s="13" t="s">
        <v>24</v>
      </c>
      <c r="D122" s="14">
        <v>2008</v>
      </c>
      <c r="E122" s="21">
        <v>8.4</v>
      </c>
      <c r="F122" s="15">
        <v>2</v>
      </c>
      <c r="G122" s="16" t="s">
        <v>302</v>
      </c>
      <c r="H122" s="14" t="s">
        <v>438</v>
      </c>
      <c r="I122" s="13">
        <v>22</v>
      </c>
      <c r="J122" s="13" t="s">
        <v>29</v>
      </c>
      <c r="L122" s="16">
        <v>1</v>
      </c>
      <c r="M122" s="13">
        <f t="shared" si="1"/>
        <v>0.5</v>
      </c>
      <c r="N122" s="13">
        <v>0</v>
      </c>
      <c r="O122" s="13">
        <f t="shared" si="2"/>
        <v>0</v>
      </c>
      <c r="P122" s="13">
        <f t="shared" si="3"/>
        <v>1</v>
      </c>
      <c r="Q122" s="13">
        <f t="shared" si="4"/>
        <v>0.5</v>
      </c>
      <c r="AD122" s="20">
        <f t="shared" si="6"/>
        <v>0</v>
      </c>
      <c r="AE122" s="13" t="s">
        <v>197</v>
      </c>
      <c r="AF122" s="13">
        <v>800</v>
      </c>
      <c r="AH122" s="16" t="s">
        <v>165</v>
      </c>
      <c r="AI122" s="13">
        <v>8.4</v>
      </c>
      <c r="AJ122" s="13">
        <v>264</v>
      </c>
      <c r="AK122" s="13" t="s">
        <v>91</v>
      </c>
      <c r="AL122" s="14" t="s">
        <v>140</v>
      </c>
    </row>
    <row r="123" spans="1:39">
      <c r="A123" s="1">
        <v>121</v>
      </c>
      <c r="B123" s="16" t="s">
        <v>108</v>
      </c>
      <c r="C123" s="13" t="s">
        <v>24</v>
      </c>
      <c r="D123" s="14">
        <v>2008</v>
      </c>
      <c r="E123" s="21">
        <v>8.41</v>
      </c>
      <c r="F123" s="15">
        <v>2</v>
      </c>
      <c r="G123" s="16" t="s">
        <v>303</v>
      </c>
      <c r="H123" s="14" t="s">
        <v>439</v>
      </c>
      <c r="I123" s="13">
        <v>18</v>
      </c>
      <c r="J123" s="13" t="s">
        <v>29</v>
      </c>
      <c r="L123" s="16">
        <v>1</v>
      </c>
      <c r="M123" s="13">
        <f t="shared" si="1"/>
        <v>0.5</v>
      </c>
      <c r="N123" s="13">
        <v>1</v>
      </c>
      <c r="O123" s="13">
        <f t="shared" si="2"/>
        <v>0.5</v>
      </c>
      <c r="P123" s="13">
        <f t="shared" si="3"/>
        <v>2</v>
      </c>
      <c r="Q123" s="13">
        <f t="shared" si="4"/>
        <v>1</v>
      </c>
      <c r="AD123" s="20">
        <f t="shared" si="6"/>
        <v>0</v>
      </c>
      <c r="AE123" s="13" t="s">
        <v>156</v>
      </c>
      <c r="AF123" s="13">
        <v>2778</v>
      </c>
      <c r="AH123" s="16" t="s">
        <v>165</v>
      </c>
      <c r="AI123" s="13">
        <v>8.4</v>
      </c>
      <c r="AJ123" s="13">
        <v>265</v>
      </c>
      <c r="AK123" s="13" t="s">
        <v>91</v>
      </c>
      <c r="AL123" s="14" t="s">
        <v>140</v>
      </c>
    </row>
    <row r="124" spans="1:39">
      <c r="A124" s="1">
        <v>122</v>
      </c>
      <c r="B124" s="16" t="s">
        <v>108</v>
      </c>
      <c r="C124" s="13" t="s">
        <v>24</v>
      </c>
      <c r="D124" s="14">
        <v>2008</v>
      </c>
      <c r="E124" s="21">
        <v>8.5299999999999994</v>
      </c>
      <c r="F124" s="15">
        <v>2</v>
      </c>
      <c r="G124" s="16" t="s">
        <v>304</v>
      </c>
      <c r="H124" s="14" t="s">
        <v>440</v>
      </c>
      <c r="I124" s="13">
        <v>27</v>
      </c>
      <c r="J124" s="13" t="s">
        <v>29</v>
      </c>
      <c r="L124" s="16">
        <v>1</v>
      </c>
      <c r="M124" s="13">
        <f t="shared" si="1"/>
        <v>0.5</v>
      </c>
      <c r="N124" s="13">
        <v>0</v>
      </c>
      <c r="O124" s="13">
        <f t="shared" si="2"/>
        <v>0</v>
      </c>
      <c r="P124" s="13">
        <f t="shared" si="3"/>
        <v>1</v>
      </c>
      <c r="Q124" s="13">
        <f t="shared" si="4"/>
        <v>0.5</v>
      </c>
      <c r="R124" s="18">
        <v>0</v>
      </c>
      <c r="S124" s="18">
        <v>1</v>
      </c>
      <c r="T124" s="18">
        <v>0</v>
      </c>
      <c r="U124" s="18">
        <v>0</v>
      </c>
      <c r="V124" s="18">
        <v>0</v>
      </c>
      <c r="W124" s="18">
        <v>0</v>
      </c>
      <c r="X124" s="18">
        <v>0</v>
      </c>
      <c r="Y124" s="18">
        <v>0</v>
      </c>
      <c r="Z124" s="18">
        <v>0</v>
      </c>
      <c r="AA124" s="18">
        <v>0</v>
      </c>
      <c r="AB124" s="18">
        <v>0</v>
      </c>
      <c r="AC124" s="18">
        <v>0</v>
      </c>
      <c r="AD124" s="20">
        <f t="shared" si="6"/>
        <v>1</v>
      </c>
      <c r="AE124" s="13" t="s">
        <v>57</v>
      </c>
      <c r="AH124" s="16" t="s">
        <v>165</v>
      </c>
      <c r="AK124" s="13" t="s">
        <v>91</v>
      </c>
      <c r="AL124" s="14" t="s">
        <v>140</v>
      </c>
    </row>
    <row r="125" spans="1:39">
      <c r="A125" s="1">
        <v>123</v>
      </c>
      <c r="B125" s="16" t="s">
        <v>108</v>
      </c>
      <c r="C125" s="13" t="s">
        <v>24</v>
      </c>
      <c r="D125" s="14">
        <v>2008</v>
      </c>
      <c r="E125" s="21">
        <v>8.5399999999999991</v>
      </c>
      <c r="F125" s="15">
        <v>2</v>
      </c>
      <c r="G125" s="16" t="s">
        <v>304</v>
      </c>
      <c r="H125" s="14" t="s">
        <v>441</v>
      </c>
      <c r="I125" s="13">
        <v>22</v>
      </c>
      <c r="J125" s="13" t="s">
        <v>29</v>
      </c>
      <c r="L125" s="16">
        <v>1</v>
      </c>
      <c r="M125" s="13">
        <f t="shared" si="1"/>
        <v>0.5</v>
      </c>
      <c r="N125" s="13">
        <v>0</v>
      </c>
      <c r="O125" s="13">
        <f t="shared" si="2"/>
        <v>0</v>
      </c>
      <c r="P125" s="13">
        <f t="shared" si="3"/>
        <v>1</v>
      </c>
      <c r="Q125" s="13">
        <f t="shared" si="4"/>
        <v>0.5</v>
      </c>
      <c r="R125" s="18">
        <v>0</v>
      </c>
      <c r="S125" s="18">
        <v>0</v>
      </c>
      <c r="T125" s="18">
        <v>0</v>
      </c>
      <c r="U125" s="18">
        <v>0</v>
      </c>
      <c r="V125" s="18">
        <v>0</v>
      </c>
      <c r="W125" s="18">
        <v>1</v>
      </c>
      <c r="X125" s="18">
        <v>0</v>
      </c>
      <c r="Y125" s="18">
        <v>0</v>
      </c>
      <c r="Z125" s="18">
        <v>0</v>
      </c>
      <c r="AA125" s="18">
        <v>0</v>
      </c>
      <c r="AB125" s="18">
        <v>0</v>
      </c>
      <c r="AC125" s="18">
        <v>0</v>
      </c>
      <c r="AD125" s="20">
        <f t="shared" si="6"/>
        <v>1</v>
      </c>
      <c r="AE125" s="13" t="s">
        <v>197</v>
      </c>
      <c r="AF125" s="13">
        <v>800</v>
      </c>
      <c r="AH125" s="16" t="s">
        <v>165</v>
      </c>
      <c r="AI125" s="13">
        <v>9</v>
      </c>
      <c r="AJ125" s="13" t="s">
        <v>174</v>
      </c>
      <c r="AK125" s="13" t="s">
        <v>91</v>
      </c>
      <c r="AL125" s="14" t="s">
        <v>140</v>
      </c>
    </row>
    <row r="126" spans="1:39">
      <c r="A126" s="1">
        <v>124</v>
      </c>
      <c r="B126" s="16" t="s">
        <v>108</v>
      </c>
      <c r="C126" s="13" t="s">
        <v>24</v>
      </c>
      <c r="D126" s="14">
        <v>2008</v>
      </c>
      <c r="E126" s="21">
        <v>9</v>
      </c>
      <c r="F126" s="15">
        <v>2</v>
      </c>
      <c r="G126" s="16" t="s">
        <v>305</v>
      </c>
      <c r="H126" s="14" t="s">
        <v>442</v>
      </c>
      <c r="I126" s="13">
        <v>22</v>
      </c>
      <c r="J126" s="13" t="s">
        <v>29</v>
      </c>
      <c r="L126" s="16">
        <v>1</v>
      </c>
      <c r="M126" s="13">
        <f t="shared" si="1"/>
        <v>0.5</v>
      </c>
      <c r="N126" s="13">
        <v>0</v>
      </c>
      <c r="O126" s="13">
        <f t="shared" si="2"/>
        <v>0</v>
      </c>
      <c r="P126" s="13">
        <f t="shared" si="3"/>
        <v>1</v>
      </c>
      <c r="Q126" s="13">
        <f t="shared" si="4"/>
        <v>0.5</v>
      </c>
      <c r="R126" s="18">
        <v>0</v>
      </c>
      <c r="S126" s="18">
        <v>0</v>
      </c>
      <c r="T126" s="18">
        <v>1</v>
      </c>
      <c r="U126" s="18">
        <v>0</v>
      </c>
      <c r="V126" s="18">
        <v>0</v>
      </c>
      <c r="W126" s="18">
        <v>0</v>
      </c>
      <c r="X126" s="18">
        <v>0</v>
      </c>
      <c r="Y126" s="18">
        <v>0</v>
      </c>
      <c r="Z126" s="18">
        <v>0</v>
      </c>
      <c r="AA126" s="18">
        <v>0</v>
      </c>
      <c r="AB126" s="18">
        <v>0</v>
      </c>
      <c r="AC126" s="18">
        <v>0</v>
      </c>
      <c r="AD126" s="20">
        <f t="shared" si="6"/>
        <v>1</v>
      </c>
      <c r="AE126" s="13" t="s">
        <v>57</v>
      </c>
      <c r="AF126" s="13">
        <v>1852</v>
      </c>
      <c r="AH126" s="16" t="s">
        <v>165</v>
      </c>
      <c r="AI126" s="13">
        <v>9.1</v>
      </c>
      <c r="AJ126" s="13" t="s">
        <v>175</v>
      </c>
      <c r="AK126" s="13" t="s">
        <v>91</v>
      </c>
      <c r="AL126" s="14" t="s">
        <v>140</v>
      </c>
    </row>
    <row r="127" spans="1:39">
      <c r="A127" s="1">
        <v>125</v>
      </c>
      <c r="B127" s="16" t="s">
        <v>108</v>
      </c>
      <c r="C127" s="13" t="s">
        <v>24</v>
      </c>
      <c r="D127" s="14">
        <v>2008</v>
      </c>
      <c r="E127" s="21">
        <v>9.06</v>
      </c>
      <c r="F127" s="15">
        <v>2</v>
      </c>
      <c r="G127" s="16" t="s">
        <v>306</v>
      </c>
      <c r="H127" s="14" t="s">
        <v>443</v>
      </c>
      <c r="I127" s="13">
        <v>21</v>
      </c>
      <c r="J127" s="13" t="s">
        <v>29</v>
      </c>
      <c r="L127" s="16">
        <v>1</v>
      </c>
      <c r="M127" s="13">
        <f t="shared" si="1"/>
        <v>0.5</v>
      </c>
      <c r="N127" s="13">
        <v>0</v>
      </c>
      <c r="O127" s="13">
        <f t="shared" si="2"/>
        <v>0</v>
      </c>
      <c r="P127" s="13">
        <f t="shared" si="3"/>
        <v>1</v>
      </c>
      <c r="Q127" s="13">
        <f t="shared" si="4"/>
        <v>0.5</v>
      </c>
      <c r="R127" s="18">
        <v>0</v>
      </c>
      <c r="S127" s="18">
        <v>0</v>
      </c>
      <c r="T127" s="18">
        <v>0</v>
      </c>
      <c r="U127" s="18">
        <v>0</v>
      </c>
      <c r="V127" s="18">
        <v>0</v>
      </c>
      <c r="W127" s="18">
        <v>1</v>
      </c>
      <c r="X127" s="18">
        <v>0</v>
      </c>
      <c r="Y127" s="18">
        <v>0</v>
      </c>
      <c r="Z127" s="18">
        <v>0</v>
      </c>
      <c r="AA127" s="18">
        <v>0</v>
      </c>
      <c r="AB127" s="18">
        <v>0</v>
      </c>
      <c r="AC127" s="18">
        <v>0</v>
      </c>
      <c r="AD127" s="20">
        <f t="shared" si="6"/>
        <v>1</v>
      </c>
      <c r="AE127" s="13" t="s">
        <v>156</v>
      </c>
      <c r="AF127" s="13">
        <v>800</v>
      </c>
      <c r="AH127" s="16" t="s">
        <v>165</v>
      </c>
      <c r="AI127" s="13">
        <v>8.4</v>
      </c>
      <c r="AJ127" s="13" t="s">
        <v>176</v>
      </c>
      <c r="AK127" s="13" t="s">
        <v>91</v>
      </c>
      <c r="AL127" s="14" t="s">
        <v>140</v>
      </c>
    </row>
    <row r="128" spans="1:39">
      <c r="A128" s="1">
        <v>126</v>
      </c>
      <c r="B128" s="16" t="s">
        <v>108</v>
      </c>
      <c r="C128" s="13" t="s">
        <v>24</v>
      </c>
      <c r="D128" s="14">
        <v>2008</v>
      </c>
      <c r="E128" s="21">
        <v>9.1</v>
      </c>
      <c r="F128" s="15">
        <v>2</v>
      </c>
      <c r="G128" s="16" t="s">
        <v>307</v>
      </c>
      <c r="H128" s="14" t="s">
        <v>444</v>
      </c>
      <c r="I128" s="13">
        <v>21</v>
      </c>
      <c r="J128" s="13" t="s">
        <v>29</v>
      </c>
      <c r="L128" s="16">
        <v>1</v>
      </c>
      <c r="M128" s="13">
        <f t="shared" si="1"/>
        <v>0.5</v>
      </c>
      <c r="N128" s="13">
        <v>0</v>
      </c>
      <c r="O128" s="13">
        <f t="shared" si="2"/>
        <v>0</v>
      </c>
      <c r="P128" s="13">
        <f t="shared" si="3"/>
        <v>1</v>
      </c>
      <c r="Q128" s="13">
        <f t="shared" si="4"/>
        <v>0.5</v>
      </c>
      <c r="R128" s="18">
        <v>1</v>
      </c>
      <c r="S128" s="18">
        <v>0</v>
      </c>
      <c r="T128" s="18">
        <v>0</v>
      </c>
      <c r="U128" s="18">
        <v>0</v>
      </c>
      <c r="V128" s="18">
        <v>0</v>
      </c>
      <c r="W128" s="18">
        <v>0</v>
      </c>
      <c r="X128" s="18">
        <v>0</v>
      </c>
      <c r="Y128" s="18">
        <v>0</v>
      </c>
      <c r="Z128" s="18">
        <v>0</v>
      </c>
      <c r="AA128" s="18">
        <v>0</v>
      </c>
      <c r="AB128" s="18">
        <v>0</v>
      </c>
      <c r="AC128" s="18">
        <v>0</v>
      </c>
      <c r="AD128" s="20">
        <f>R128+S128+T128+U128+V128+W128+X128+Y128+Z128+AA128+AC128+AB128</f>
        <v>1</v>
      </c>
      <c r="AE128" s="13" t="s">
        <v>156</v>
      </c>
      <c r="AF128" s="13">
        <v>900</v>
      </c>
      <c r="AH128" s="16" t="s">
        <v>165</v>
      </c>
      <c r="AK128" s="13" t="s">
        <v>91</v>
      </c>
      <c r="AL128" s="14" t="s">
        <v>140</v>
      </c>
    </row>
    <row r="129" spans="1:38">
      <c r="A129" s="1">
        <v>127</v>
      </c>
      <c r="B129" s="16" t="s">
        <v>108</v>
      </c>
      <c r="C129" s="13" t="s">
        <v>24</v>
      </c>
      <c r="D129" s="14">
        <v>2008</v>
      </c>
      <c r="E129" s="21">
        <v>9.17</v>
      </c>
      <c r="F129" s="15">
        <v>2</v>
      </c>
      <c r="G129" s="16" t="s">
        <v>308</v>
      </c>
      <c r="H129" s="14" t="s">
        <v>445</v>
      </c>
      <c r="I129" s="13">
        <v>18</v>
      </c>
      <c r="J129" s="13" t="s">
        <v>29</v>
      </c>
      <c r="L129" s="16">
        <v>1</v>
      </c>
      <c r="M129" s="13">
        <f t="shared" si="1"/>
        <v>0.5</v>
      </c>
      <c r="N129" s="13">
        <v>0</v>
      </c>
      <c r="O129" s="13">
        <f t="shared" si="2"/>
        <v>0</v>
      </c>
      <c r="P129" s="13">
        <f t="shared" si="3"/>
        <v>1</v>
      </c>
      <c r="Q129" s="13">
        <f t="shared" si="4"/>
        <v>0.5</v>
      </c>
      <c r="R129" s="18">
        <v>1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8">
        <v>0</v>
      </c>
      <c r="AB129" s="18">
        <v>0</v>
      </c>
      <c r="AC129" s="18">
        <v>0</v>
      </c>
      <c r="AD129" s="20">
        <f t="shared" si="6"/>
        <v>1</v>
      </c>
      <c r="AE129" s="13" t="s">
        <v>57</v>
      </c>
      <c r="AF129" s="13">
        <v>1852</v>
      </c>
      <c r="AH129" s="16" t="s">
        <v>165</v>
      </c>
      <c r="AK129" s="13" t="s">
        <v>91</v>
      </c>
      <c r="AL129" s="14" t="s">
        <v>168</v>
      </c>
    </row>
    <row r="130" spans="1:38">
      <c r="A130" s="1">
        <v>128</v>
      </c>
      <c r="B130" s="16" t="s">
        <v>108</v>
      </c>
      <c r="C130" s="13" t="s">
        <v>24</v>
      </c>
      <c r="D130" s="14">
        <v>2008</v>
      </c>
      <c r="E130" s="21">
        <v>9.3000000000000007</v>
      </c>
      <c r="F130" s="15">
        <v>2</v>
      </c>
      <c r="G130" s="16" t="s">
        <v>309</v>
      </c>
      <c r="H130" s="14" t="s">
        <v>446</v>
      </c>
      <c r="I130" s="13">
        <v>17</v>
      </c>
      <c r="J130" s="13" t="s">
        <v>29</v>
      </c>
      <c r="L130" s="16">
        <v>3</v>
      </c>
      <c r="M130" s="13">
        <f t="shared" si="1"/>
        <v>1.5</v>
      </c>
      <c r="N130" s="13">
        <v>0</v>
      </c>
      <c r="O130" s="13">
        <f t="shared" si="2"/>
        <v>0</v>
      </c>
      <c r="P130" s="13">
        <f t="shared" si="3"/>
        <v>3</v>
      </c>
      <c r="Q130" s="13">
        <f t="shared" si="4"/>
        <v>1.5</v>
      </c>
      <c r="R130" s="18">
        <v>3</v>
      </c>
      <c r="S130" s="18">
        <v>0</v>
      </c>
      <c r="T130" s="18">
        <v>0</v>
      </c>
      <c r="U130" s="18">
        <v>0</v>
      </c>
      <c r="V130" s="18">
        <v>0</v>
      </c>
      <c r="W130" s="18">
        <v>0</v>
      </c>
      <c r="X130" s="18">
        <v>0</v>
      </c>
      <c r="Y130" s="18">
        <v>0</v>
      </c>
      <c r="Z130" s="18">
        <v>0</v>
      </c>
      <c r="AA130" s="18">
        <v>0</v>
      </c>
      <c r="AB130" s="18">
        <v>0</v>
      </c>
      <c r="AC130" s="18">
        <v>0</v>
      </c>
      <c r="AD130" s="20">
        <f t="shared" si="6"/>
        <v>3</v>
      </c>
      <c r="AH130" s="16" t="s">
        <v>165</v>
      </c>
      <c r="AK130" s="13" t="s">
        <v>91</v>
      </c>
      <c r="AL130" s="14" t="s">
        <v>168</v>
      </c>
    </row>
    <row r="131" spans="1:38">
      <c r="A131" s="1">
        <v>129</v>
      </c>
      <c r="B131" s="16" t="s">
        <v>108</v>
      </c>
      <c r="C131" s="13" t="s">
        <v>24</v>
      </c>
      <c r="D131" s="14">
        <v>2008</v>
      </c>
      <c r="E131" s="21">
        <v>9.35</v>
      </c>
      <c r="F131" s="15">
        <v>2</v>
      </c>
      <c r="G131" s="16" t="s">
        <v>310</v>
      </c>
      <c r="H131" s="14" t="s">
        <v>447</v>
      </c>
      <c r="I131" s="13">
        <v>18</v>
      </c>
      <c r="J131" s="13" t="s">
        <v>29</v>
      </c>
      <c r="L131" s="16">
        <v>5</v>
      </c>
      <c r="M131" s="13">
        <f t="shared" si="1"/>
        <v>2.5</v>
      </c>
      <c r="N131" s="13">
        <v>0</v>
      </c>
      <c r="O131" s="13">
        <f t="shared" si="2"/>
        <v>0</v>
      </c>
      <c r="P131" s="13">
        <f t="shared" si="3"/>
        <v>5</v>
      </c>
      <c r="Q131" s="13">
        <f t="shared" si="4"/>
        <v>2.5</v>
      </c>
      <c r="R131" s="18">
        <v>0</v>
      </c>
      <c r="S131" s="18">
        <v>0</v>
      </c>
      <c r="T131" s="18">
        <v>0</v>
      </c>
      <c r="U131" s="18">
        <v>0</v>
      </c>
      <c r="V131" s="18">
        <v>0</v>
      </c>
      <c r="W131" s="18">
        <v>0</v>
      </c>
      <c r="X131" s="18">
        <v>0</v>
      </c>
      <c r="Y131" s="18">
        <v>0</v>
      </c>
      <c r="Z131" s="18">
        <v>0</v>
      </c>
      <c r="AA131" s="18">
        <v>5</v>
      </c>
      <c r="AB131" s="18">
        <v>0</v>
      </c>
      <c r="AC131" s="18">
        <v>0</v>
      </c>
      <c r="AD131" s="20">
        <f t="shared" si="6"/>
        <v>5</v>
      </c>
      <c r="AE131" s="13" t="s">
        <v>156</v>
      </c>
      <c r="AF131" s="13">
        <v>1852</v>
      </c>
      <c r="AH131" s="16" t="s">
        <v>165</v>
      </c>
      <c r="AI131" s="13">
        <v>9</v>
      </c>
      <c r="AJ131" s="13" t="s">
        <v>177</v>
      </c>
      <c r="AK131" s="13" t="s">
        <v>91</v>
      </c>
      <c r="AL131" s="14" t="s">
        <v>168</v>
      </c>
    </row>
    <row r="132" spans="1:38">
      <c r="A132" s="1">
        <v>130</v>
      </c>
      <c r="B132" s="16" t="s">
        <v>108</v>
      </c>
      <c r="C132" s="13" t="s">
        <v>24</v>
      </c>
      <c r="D132" s="14">
        <v>2008</v>
      </c>
      <c r="E132" s="21">
        <v>9.3800000000000008</v>
      </c>
      <c r="F132" s="15">
        <v>2</v>
      </c>
      <c r="G132" s="16" t="s">
        <v>310</v>
      </c>
      <c r="H132" s="14" t="s">
        <v>448</v>
      </c>
      <c r="I132" s="13">
        <v>18</v>
      </c>
      <c r="J132" s="13" t="s">
        <v>29</v>
      </c>
      <c r="L132" s="16">
        <v>3</v>
      </c>
      <c r="M132" s="13">
        <f t="shared" si="1"/>
        <v>1.5</v>
      </c>
      <c r="N132" s="13">
        <v>0</v>
      </c>
      <c r="O132" s="13">
        <f t="shared" si="2"/>
        <v>0</v>
      </c>
      <c r="P132" s="13">
        <f t="shared" si="3"/>
        <v>3</v>
      </c>
      <c r="Q132" s="13">
        <f t="shared" si="4"/>
        <v>1.5</v>
      </c>
      <c r="R132" s="18">
        <v>0</v>
      </c>
      <c r="S132" s="18">
        <v>0</v>
      </c>
      <c r="T132" s="18">
        <v>0</v>
      </c>
      <c r="U132" s="18">
        <v>0</v>
      </c>
      <c r="V132" s="18">
        <v>0</v>
      </c>
      <c r="W132" s="18">
        <v>0</v>
      </c>
      <c r="X132" s="18">
        <v>0</v>
      </c>
      <c r="Y132" s="18">
        <v>0</v>
      </c>
      <c r="Z132" s="18">
        <v>0</v>
      </c>
      <c r="AA132" s="18">
        <v>3</v>
      </c>
      <c r="AB132" s="18">
        <v>0</v>
      </c>
      <c r="AC132" s="18">
        <v>0</v>
      </c>
      <c r="AD132" s="20">
        <f t="shared" si="6"/>
        <v>3</v>
      </c>
      <c r="AE132" s="13" t="s">
        <v>57</v>
      </c>
      <c r="AH132" s="16" t="s">
        <v>165</v>
      </c>
      <c r="AK132" s="13" t="s">
        <v>91</v>
      </c>
      <c r="AL132" s="14" t="s">
        <v>168</v>
      </c>
    </row>
    <row r="133" spans="1:38">
      <c r="A133" s="1">
        <v>131</v>
      </c>
      <c r="B133" s="16" t="s">
        <v>108</v>
      </c>
      <c r="C133" s="13" t="s">
        <v>24</v>
      </c>
      <c r="D133" s="14">
        <v>2008</v>
      </c>
      <c r="E133" s="21">
        <v>9.48</v>
      </c>
      <c r="F133" s="15">
        <v>2</v>
      </c>
      <c r="G133" s="16" t="s">
        <v>311</v>
      </c>
      <c r="H133" s="14" t="s">
        <v>449</v>
      </c>
      <c r="I133" s="13">
        <v>19</v>
      </c>
      <c r="J133" s="13" t="s">
        <v>29</v>
      </c>
      <c r="L133" s="16">
        <v>1</v>
      </c>
      <c r="M133" s="13">
        <f t="shared" si="1"/>
        <v>0.5</v>
      </c>
      <c r="N133" s="13">
        <v>0</v>
      </c>
      <c r="O133" s="13">
        <f t="shared" si="2"/>
        <v>0</v>
      </c>
      <c r="P133" s="13">
        <f t="shared" si="3"/>
        <v>1</v>
      </c>
      <c r="Q133" s="13">
        <f t="shared" si="4"/>
        <v>0.5</v>
      </c>
      <c r="R133" s="18">
        <v>0</v>
      </c>
      <c r="S133" s="18">
        <v>0</v>
      </c>
      <c r="T133" s="18">
        <v>0</v>
      </c>
      <c r="U133" s="18">
        <v>0</v>
      </c>
      <c r="V133" s="18">
        <v>0</v>
      </c>
      <c r="W133" s="18">
        <v>0</v>
      </c>
      <c r="X133" s="18">
        <v>0</v>
      </c>
      <c r="Y133" s="18">
        <v>0</v>
      </c>
      <c r="Z133" s="18">
        <v>0</v>
      </c>
      <c r="AA133" s="18">
        <v>0</v>
      </c>
      <c r="AB133" s="18">
        <v>0</v>
      </c>
      <c r="AC133" s="18">
        <v>0</v>
      </c>
      <c r="AD133" s="20">
        <f t="shared" si="6"/>
        <v>0</v>
      </c>
      <c r="AE133" s="13" t="s">
        <v>156</v>
      </c>
      <c r="AF133" s="13">
        <v>800</v>
      </c>
      <c r="AH133" s="16" t="s">
        <v>165</v>
      </c>
      <c r="AI133" s="13">
        <v>1.2</v>
      </c>
      <c r="AJ133" s="13" t="s">
        <v>178</v>
      </c>
      <c r="AK133" s="13" t="s">
        <v>91</v>
      </c>
      <c r="AL133" s="14" t="s">
        <v>168</v>
      </c>
    </row>
    <row r="134" spans="1:38">
      <c r="A134" s="1">
        <v>132</v>
      </c>
      <c r="B134" s="16" t="s">
        <v>108</v>
      </c>
      <c r="C134" s="13" t="s">
        <v>24</v>
      </c>
      <c r="D134" s="14">
        <v>2008</v>
      </c>
      <c r="E134" s="21">
        <v>9.5500000000000007</v>
      </c>
      <c r="F134" s="15">
        <v>2</v>
      </c>
      <c r="G134" s="16" t="s">
        <v>312</v>
      </c>
      <c r="H134" s="14" t="s">
        <v>450</v>
      </c>
      <c r="I134" s="13">
        <v>18</v>
      </c>
      <c r="J134" s="13" t="s">
        <v>29</v>
      </c>
      <c r="L134" s="16">
        <v>1</v>
      </c>
      <c r="M134" s="13">
        <f t="shared" si="1"/>
        <v>0.5</v>
      </c>
      <c r="N134" s="13">
        <v>1</v>
      </c>
      <c r="O134" s="13">
        <f t="shared" si="2"/>
        <v>0.5</v>
      </c>
      <c r="P134" s="13">
        <f t="shared" si="3"/>
        <v>2</v>
      </c>
      <c r="Q134" s="13">
        <f t="shared" si="4"/>
        <v>1</v>
      </c>
      <c r="R134" s="18">
        <v>2</v>
      </c>
      <c r="S134" s="18">
        <v>0</v>
      </c>
      <c r="T134" s="18">
        <v>0</v>
      </c>
      <c r="U134" s="18">
        <v>0</v>
      </c>
      <c r="V134" s="18">
        <v>0</v>
      </c>
      <c r="W134" s="18">
        <v>0</v>
      </c>
      <c r="X134" s="18">
        <v>0</v>
      </c>
      <c r="Y134" s="18">
        <v>0</v>
      </c>
      <c r="Z134" s="18">
        <v>0</v>
      </c>
      <c r="AA134" s="18">
        <v>0</v>
      </c>
      <c r="AB134" s="18">
        <v>0</v>
      </c>
      <c r="AC134" s="18">
        <v>0</v>
      </c>
      <c r="AD134" s="20">
        <f t="shared" si="6"/>
        <v>2</v>
      </c>
      <c r="AE134" s="13" t="s">
        <v>197</v>
      </c>
      <c r="AF134" s="13">
        <v>400</v>
      </c>
      <c r="AH134" s="16" t="s">
        <v>165</v>
      </c>
      <c r="AK134" s="13" t="s">
        <v>91</v>
      </c>
      <c r="AL134" s="14" t="s">
        <v>168</v>
      </c>
    </row>
    <row r="135" spans="1:38">
      <c r="A135" s="1">
        <v>133</v>
      </c>
      <c r="B135" s="16" t="s">
        <v>108</v>
      </c>
      <c r="C135" s="13" t="s">
        <v>24</v>
      </c>
      <c r="D135" s="14">
        <v>2008</v>
      </c>
      <c r="E135" s="21">
        <v>10</v>
      </c>
      <c r="F135" s="15">
        <v>2</v>
      </c>
      <c r="G135" s="16" t="s">
        <v>313</v>
      </c>
      <c r="H135" s="14" t="s">
        <v>451</v>
      </c>
      <c r="I135" s="13">
        <v>17</v>
      </c>
      <c r="J135" s="13" t="s">
        <v>29</v>
      </c>
      <c r="L135" s="16">
        <v>2</v>
      </c>
      <c r="M135" s="13">
        <f t="shared" si="1"/>
        <v>1</v>
      </c>
      <c r="N135" s="13">
        <v>0</v>
      </c>
      <c r="O135" s="13">
        <f t="shared" si="2"/>
        <v>0</v>
      </c>
      <c r="P135" s="13">
        <f t="shared" si="3"/>
        <v>2</v>
      </c>
      <c r="Q135" s="13">
        <f t="shared" si="4"/>
        <v>1</v>
      </c>
      <c r="AD135" s="20">
        <f t="shared" si="6"/>
        <v>0</v>
      </c>
      <c r="AE135" s="13" t="s">
        <v>156</v>
      </c>
      <c r="AF135" s="13">
        <v>800</v>
      </c>
      <c r="AH135" s="16" t="s">
        <v>165</v>
      </c>
      <c r="AI135" s="13">
        <v>9</v>
      </c>
      <c r="AJ135" s="13" t="s">
        <v>179</v>
      </c>
      <c r="AK135" s="13" t="s">
        <v>91</v>
      </c>
      <c r="AL135" s="14" t="s">
        <v>168</v>
      </c>
    </row>
    <row r="136" spans="1:38">
      <c r="A136" s="1">
        <v>134</v>
      </c>
      <c r="B136" s="16" t="s">
        <v>108</v>
      </c>
      <c r="C136" s="13" t="s">
        <v>24</v>
      </c>
      <c r="D136" s="14">
        <v>2008</v>
      </c>
      <c r="E136" s="21">
        <v>10.029999999999999</v>
      </c>
      <c r="F136" s="15">
        <v>2</v>
      </c>
      <c r="G136" s="16" t="s">
        <v>314</v>
      </c>
      <c r="H136" s="14" t="s">
        <v>452</v>
      </c>
      <c r="I136" s="13">
        <v>17</v>
      </c>
      <c r="J136" s="13" t="s">
        <v>29</v>
      </c>
      <c r="K136" s="13" t="s">
        <v>180</v>
      </c>
      <c r="L136" s="16">
        <v>1</v>
      </c>
      <c r="M136" s="13">
        <f t="shared" si="1"/>
        <v>0.5</v>
      </c>
      <c r="N136" s="13">
        <v>0</v>
      </c>
      <c r="O136" s="13">
        <f t="shared" si="2"/>
        <v>0</v>
      </c>
      <c r="P136" s="13">
        <f t="shared" si="3"/>
        <v>1</v>
      </c>
      <c r="Q136" s="13">
        <f t="shared" si="4"/>
        <v>0.5</v>
      </c>
      <c r="AD136" s="20">
        <f t="shared" si="6"/>
        <v>0</v>
      </c>
      <c r="AE136" s="13" t="s">
        <v>197</v>
      </c>
      <c r="AF136" s="13">
        <v>800</v>
      </c>
      <c r="AH136" s="16" t="s">
        <v>165</v>
      </c>
      <c r="AI136" s="13">
        <v>9</v>
      </c>
      <c r="AJ136" s="13" t="s">
        <v>181</v>
      </c>
      <c r="AK136" s="13" t="s">
        <v>91</v>
      </c>
      <c r="AL136" s="14" t="s">
        <v>168</v>
      </c>
    </row>
    <row r="137" spans="1:38">
      <c r="A137" s="1">
        <v>135</v>
      </c>
      <c r="B137" s="16" t="s">
        <v>108</v>
      </c>
      <c r="C137" s="13" t="s">
        <v>24</v>
      </c>
      <c r="D137" s="14">
        <v>2008</v>
      </c>
      <c r="E137" s="21">
        <v>10.11</v>
      </c>
      <c r="F137" s="15">
        <v>2</v>
      </c>
      <c r="G137" s="16" t="s">
        <v>315</v>
      </c>
      <c r="H137" s="14" t="s">
        <v>453</v>
      </c>
      <c r="I137" s="13">
        <v>17</v>
      </c>
      <c r="J137" s="13" t="s">
        <v>29</v>
      </c>
      <c r="L137" s="16">
        <v>1</v>
      </c>
      <c r="M137" s="13">
        <f t="shared" si="1"/>
        <v>0.5</v>
      </c>
      <c r="N137" s="13">
        <v>0</v>
      </c>
      <c r="O137" s="13">
        <f t="shared" si="2"/>
        <v>0</v>
      </c>
      <c r="P137" s="13">
        <f t="shared" si="3"/>
        <v>1</v>
      </c>
      <c r="Q137" s="13">
        <f t="shared" si="4"/>
        <v>0.5</v>
      </c>
      <c r="R137" s="18">
        <v>1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v>0</v>
      </c>
      <c r="AB137" s="18">
        <v>0</v>
      </c>
      <c r="AC137" s="18">
        <v>0</v>
      </c>
      <c r="AD137" s="20">
        <f t="shared" si="6"/>
        <v>1</v>
      </c>
      <c r="AE137" s="13" t="s">
        <v>156</v>
      </c>
      <c r="AF137" s="13">
        <v>800</v>
      </c>
      <c r="AH137" s="16" t="s">
        <v>165</v>
      </c>
      <c r="AK137" s="13" t="s">
        <v>91</v>
      </c>
      <c r="AL137" s="14" t="s">
        <v>168</v>
      </c>
    </row>
    <row r="138" spans="1:38">
      <c r="A138" s="1">
        <v>136</v>
      </c>
      <c r="B138" s="16" t="s">
        <v>108</v>
      </c>
      <c r="C138" s="13" t="s">
        <v>24</v>
      </c>
      <c r="D138" s="14">
        <v>2008</v>
      </c>
      <c r="E138" s="21">
        <v>10.24</v>
      </c>
      <c r="F138" s="15">
        <v>2</v>
      </c>
      <c r="G138" s="16" t="s">
        <v>316</v>
      </c>
      <c r="H138" s="14" t="s">
        <v>454</v>
      </c>
      <c r="I138" s="13">
        <v>17</v>
      </c>
      <c r="J138" s="13" t="s">
        <v>29</v>
      </c>
      <c r="L138" s="16">
        <v>1</v>
      </c>
      <c r="M138" s="13">
        <f t="shared" si="1"/>
        <v>0.5</v>
      </c>
      <c r="N138" s="13">
        <v>0</v>
      </c>
      <c r="O138" s="13">
        <f t="shared" si="2"/>
        <v>0</v>
      </c>
      <c r="P138" s="13">
        <f t="shared" si="3"/>
        <v>1</v>
      </c>
      <c r="Q138" s="13">
        <f t="shared" si="4"/>
        <v>0.5</v>
      </c>
      <c r="AD138" s="20">
        <f t="shared" si="6"/>
        <v>0</v>
      </c>
      <c r="AE138" s="13" t="s">
        <v>156</v>
      </c>
      <c r="AF138" s="13">
        <v>600</v>
      </c>
      <c r="AH138" s="16" t="s">
        <v>165</v>
      </c>
      <c r="AI138" s="13">
        <v>8.3000000000000007</v>
      </c>
      <c r="AJ138" s="13" t="s">
        <v>182</v>
      </c>
      <c r="AK138" s="13" t="s">
        <v>91</v>
      </c>
      <c r="AL138" s="14" t="s">
        <v>168</v>
      </c>
    </row>
    <row r="139" spans="1:38">
      <c r="A139" s="1">
        <v>137</v>
      </c>
      <c r="B139" s="16" t="s">
        <v>108</v>
      </c>
      <c r="C139" s="13" t="s">
        <v>24</v>
      </c>
      <c r="D139" s="14">
        <v>2008</v>
      </c>
      <c r="E139" s="21">
        <v>10.26</v>
      </c>
      <c r="F139" s="15">
        <v>2</v>
      </c>
      <c r="G139" s="16" t="s">
        <v>317</v>
      </c>
      <c r="H139" s="14" t="s">
        <v>455</v>
      </c>
      <c r="I139" s="13">
        <v>19</v>
      </c>
      <c r="J139" s="13" t="s">
        <v>29</v>
      </c>
      <c r="L139" s="16">
        <v>1</v>
      </c>
      <c r="M139" s="13">
        <f t="shared" si="1"/>
        <v>0.5</v>
      </c>
      <c r="N139" s="13">
        <v>0</v>
      </c>
      <c r="O139" s="13">
        <f t="shared" si="2"/>
        <v>0</v>
      </c>
      <c r="P139" s="13">
        <f t="shared" si="3"/>
        <v>1</v>
      </c>
      <c r="Q139" s="13">
        <f t="shared" si="4"/>
        <v>0.5</v>
      </c>
      <c r="R139" s="18">
        <v>0</v>
      </c>
      <c r="S139" s="18">
        <v>0</v>
      </c>
      <c r="T139" s="18">
        <v>0</v>
      </c>
      <c r="U139" s="18">
        <v>0</v>
      </c>
      <c r="V139" s="18">
        <v>0</v>
      </c>
      <c r="W139" s="18">
        <v>1</v>
      </c>
      <c r="X139" s="18">
        <v>0</v>
      </c>
      <c r="Y139" s="18">
        <v>0</v>
      </c>
      <c r="Z139" s="18">
        <v>0</v>
      </c>
      <c r="AA139" s="18">
        <v>0</v>
      </c>
      <c r="AB139" s="18">
        <v>0</v>
      </c>
      <c r="AC139" s="18">
        <v>0</v>
      </c>
      <c r="AD139" s="20">
        <f t="shared" si="6"/>
        <v>1</v>
      </c>
      <c r="AE139" s="13" t="s">
        <v>197</v>
      </c>
      <c r="AF139" s="13">
        <v>300</v>
      </c>
      <c r="AH139" s="16" t="s">
        <v>165</v>
      </c>
      <c r="AI139" s="13">
        <v>8.3000000000000007</v>
      </c>
      <c r="AJ139" s="13" t="s">
        <v>183</v>
      </c>
      <c r="AK139" s="13" t="s">
        <v>91</v>
      </c>
      <c r="AL139" s="14" t="s">
        <v>169</v>
      </c>
    </row>
    <row r="140" spans="1:38">
      <c r="A140" s="1">
        <v>138</v>
      </c>
      <c r="B140" s="16" t="s">
        <v>108</v>
      </c>
      <c r="C140" s="13" t="s">
        <v>24</v>
      </c>
      <c r="D140" s="14">
        <v>2008</v>
      </c>
      <c r="E140" s="21">
        <v>10.28</v>
      </c>
      <c r="F140" s="15">
        <v>2</v>
      </c>
      <c r="G140" s="16" t="s">
        <v>318</v>
      </c>
      <c r="H140" s="14" t="s">
        <v>456</v>
      </c>
      <c r="I140" s="13">
        <v>19</v>
      </c>
      <c r="J140" s="13" t="s">
        <v>29</v>
      </c>
      <c r="L140" s="16">
        <v>2</v>
      </c>
      <c r="M140" s="13">
        <f t="shared" si="1"/>
        <v>1</v>
      </c>
      <c r="N140" s="13">
        <v>0</v>
      </c>
      <c r="O140" s="13">
        <f t="shared" si="2"/>
        <v>0</v>
      </c>
      <c r="P140" s="13">
        <f t="shared" si="3"/>
        <v>2</v>
      </c>
      <c r="Q140" s="13">
        <f t="shared" si="4"/>
        <v>1</v>
      </c>
      <c r="AD140" s="20">
        <f t="shared" si="6"/>
        <v>0</v>
      </c>
      <c r="AE140" s="13" t="s">
        <v>57</v>
      </c>
      <c r="AF140" s="13">
        <v>600</v>
      </c>
      <c r="AH140" s="16" t="s">
        <v>165</v>
      </c>
      <c r="AI140" s="13">
        <v>8.1999999999999993</v>
      </c>
      <c r="AJ140" s="13" t="s">
        <v>184</v>
      </c>
      <c r="AK140" s="13" t="s">
        <v>91</v>
      </c>
      <c r="AL140" s="14" t="s">
        <v>169</v>
      </c>
    </row>
    <row r="141" spans="1:38">
      <c r="A141" s="1">
        <v>139</v>
      </c>
      <c r="B141" s="16" t="s">
        <v>108</v>
      </c>
      <c r="C141" s="13" t="s">
        <v>24</v>
      </c>
      <c r="D141" s="14">
        <v>2008</v>
      </c>
      <c r="E141" s="21">
        <v>10.3</v>
      </c>
      <c r="F141" s="15">
        <v>2</v>
      </c>
      <c r="G141" s="16" t="s">
        <v>319</v>
      </c>
      <c r="H141" s="14" t="s">
        <v>457</v>
      </c>
      <c r="I141" s="13">
        <v>20</v>
      </c>
      <c r="J141" s="13" t="s">
        <v>29</v>
      </c>
      <c r="L141" s="16">
        <v>3</v>
      </c>
      <c r="M141" s="13">
        <f t="shared" si="1"/>
        <v>1.5</v>
      </c>
      <c r="N141" s="13">
        <v>0</v>
      </c>
      <c r="O141" s="13">
        <f t="shared" si="2"/>
        <v>0</v>
      </c>
      <c r="P141" s="13">
        <f t="shared" si="3"/>
        <v>3</v>
      </c>
      <c r="Q141" s="13">
        <f t="shared" si="4"/>
        <v>1.5</v>
      </c>
      <c r="AD141" s="20">
        <f t="shared" si="6"/>
        <v>0</v>
      </c>
      <c r="AE141" s="13" t="s">
        <v>57</v>
      </c>
      <c r="AF141" s="13">
        <v>3704</v>
      </c>
      <c r="AH141" s="16" t="s">
        <v>165</v>
      </c>
      <c r="AI141" s="13">
        <v>8.3000000000000007</v>
      </c>
      <c r="AJ141" s="13" t="s">
        <v>149</v>
      </c>
      <c r="AK141" s="13" t="s">
        <v>91</v>
      </c>
      <c r="AL141" s="14" t="s">
        <v>169</v>
      </c>
    </row>
    <row r="142" spans="1:38">
      <c r="A142" s="1">
        <v>140</v>
      </c>
      <c r="B142" s="16" t="s">
        <v>108</v>
      </c>
      <c r="C142" s="13" t="s">
        <v>24</v>
      </c>
      <c r="D142" s="14">
        <v>2008</v>
      </c>
      <c r="E142" s="21">
        <v>10.32</v>
      </c>
      <c r="F142" s="15">
        <v>2</v>
      </c>
      <c r="G142" s="16" t="s">
        <v>320</v>
      </c>
      <c r="H142" s="14" t="s">
        <v>458</v>
      </c>
      <c r="I142" s="13">
        <v>23</v>
      </c>
      <c r="J142" s="13" t="s">
        <v>29</v>
      </c>
      <c r="L142" s="16">
        <v>1</v>
      </c>
      <c r="M142" s="13">
        <f t="shared" si="1"/>
        <v>0.5</v>
      </c>
      <c r="N142" s="13">
        <v>0</v>
      </c>
      <c r="O142" s="13">
        <f t="shared" si="2"/>
        <v>0</v>
      </c>
      <c r="P142" s="13">
        <f t="shared" si="3"/>
        <v>1</v>
      </c>
      <c r="Q142" s="13">
        <f t="shared" si="4"/>
        <v>0.5</v>
      </c>
      <c r="R142" s="18">
        <v>0</v>
      </c>
      <c r="S142" s="18">
        <v>1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18">
        <v>0</v>
      </c>
      <c r="AB142" s="18">
        <v>0</v>
      </c>
      <c r="AC142" s="18">
        <v>0</v>
      </c>
      <c r="AD142" s="20">
        <f t="shared" si="6"/>
        <v>1</v>
      </c>
      <c r="AE142" s="13" t="s">
        <v>57</v>
      </c>
      <c r="AF142" s="13">
        <v>5556</v>
      </c>
      <c r="AH142" s="16" t="s">
        <v>165</v>
      </c>
      <c r="AK142" s="13" t="s">
        <v>91</v>
      </c>
      <c r="AL142" s="14" t="s">
        <v>169</v>
      </c>
    </row>
    <row r="143" spans="1:38">
      <c r="A143" s="1">
        <v>141</v>
      </c>
      <c r="B143" s="16" t="s">
        <v>108</v>
      </c>
      <c r="C143" s="13" t="s">
        <v>24</v>
      </c>
      <c r="D143" s="14">
        <v>2008</v>
      </c>
      <c r="E143" s="21">
        <v>10.35</v>
      </c>
      <c r="F143" s="15">
        <v>2</v>
      </c>
      <c r="G143" s="16" t="s">
        <v>321</v>
      </c>
      <c r="H143" s="14" t="s">
        <v>459</v>
      </c>
      <c r="I143" s="13">
        <v>20</v>
      </c>
      <c r="J143" s="13" t="s">
        <v>29</v>
      </c>
      <c r="L143" s="16">
        <v>1</v>
      </c>
      <c r="M143" s="13">
        <f t="shared" si="1"/>
        <v>0.5</v>
      </c>
      <c r="N143" s="13">
        <v>0</v>
      </c>
      <c r="O143" s="13">
        <f t="shared" si="2"/>
        <v>0</v>
      </c>
      <c r="P143" s="13">
        <f t="shared" si="3"/>
        <v>1</v>
      </c>
      <c r="Q143" s="13">
        <f t="shared" si="4"/>
        <v>0.5</v>
      </c>
      <c r="R143" s="18">
        <v>0</v>
      </c>
      <c r="S143" s="18">
        <v>1</v>
      </c>
      <c r="T143" s="18">
        <v>0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18">
        <v>0</v>
      </c>
      <c r="AB143" s="18">
        <v>0</v>
      </c>
      <c r="AC143" s="18">
        <v>0</v>
      </c>
      <c r="AD143" s="20">
        <f t="shared" ref="AD143:AD160" si="7">R143+S143+T143+U143+V143+W143+X143+Y143+Z143+AA143+AC143+AB143</f>
        <v>1</v>
      </c>
      <c r="AE143" s="13" t="s">
        <v>57</v>
      </c>
      <c r="AF143" s="13">
        <v>9260</v>
      </c>
      <c r="AH143" s="16" t="s">
        <v>165</v>
      </c>
      <c r="AK143" s="13" t="s">
        <v>91</v>
      </c>
      <c r="AL143" s="14" t="s">
        <v>169</v>
      </c>
    </row>
    <row r="144" spans="1:38">
      <c r="A144" s="1">
        <v>142</v>
      </c>
      <c r="B144" s="16" t="s">
        <v>108</v>
      </c>
      <c r="C144" s="13" t="s">
        <v>24</v>
      </c>
      <c r="D144" s="14">
        <v>2008</v>
      </c>
      <c r="E144" s="21">
        <v>10.37</v>
      </c>
      <c r="F144" s="15">
        <v>2</v>
      </c>
      <c r="G144" s="16" t="s">
        <v>322</v>
      </c>
      <c r="H144" s="14" t="s">
        <v>460</v>
      </c>
      <c r="I144" s="13">
        <v>20</v>
      </c>
      <c r="J144" s="13" t="s">
        <v>29</v>
      </c>
      <c r="L144" s="16">
        <v>1</v>
      </c>
      <c r="M144" s="13">
        <f t="shared" si="1"/>
        <v>0.5</v>
      </c>
      <c r="N144" s="13">
        <v>0</v>
      </c>
      <c r="O144" s="13">
        <f t="shared" si="2"/>
        <v>0</v>
      </c>
      <c r="P144" s="13">
        <f t="shared" si="3"/>
        <v>1</v>
      </c>
      <c r="Q144" s="13">
        <f t="shared" si="4"/>
        <v>0.5</v>
      </c>
      <c r="R144" s="18">
        <v>1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8">
        <v>0</v>
      </c>
      <c r="AD144" s="20">
        <f t="shared" si="7"/>
        <v>1</v>
      </c>
      <c r="AE144" s="13" t="s">
        <v>197</v>
      </c>
      <c r="AF144" s="13">
        <v>600</v>
      </c>
      <c r="AH144" s="16" t="s">
        <v>165</v>
      </c>
      <c r="AI144" s="13">
        <v>1.7</v>
      </c>
      <c r="AJ144" s="13" t="s">
        <v>81</v>
      </c>
      <c r="AK144" s="13" t="s">
        <v>91</v>
      </c>
      <c r="AL144" s="14" t="s">
        <v>169</v>
      </c>
    </row>
    <row r="145" spans="1:39">
      <c r="A145" s="1">
        <v>143</v>
      </c>
      <c r="B145" s="16" t="s">
        <v>108</v>
      </c>
      <c r="C145" s="13" t="s">
        <v>24</v>
      </c>
      <c r="D145" s="14">
        <v>2008</v>
      </c>
      <c r="E145" s="21">
        <v>10.4</v>
      </c>
      <c r="F145" s="15">
        <v>2</v>
      </c>
      <c r="G145" s="16" t="s">
        <v>323</v>
      </c>
      <c r="H145" s="14" t="s">
        <v>461</v>
      </c>
      <c r="I145" s="13">
        <v>19</v>
      </c>
      <c r="J145" s="13" t="s">
        <v>29</v>
      </c>
      <c r="L145" s="16">
        <v>1</v>
      </c>
      <c r="M145" s="13">
        <f t="shared" si="1"/>
        <v>0.5</v>
      </c>
      <c r="N145" s="13">
        <v>0</v>
      </c>
      <c r="O145" s="13">
        <f t="shared" si="2"/>
        <v>0</v>
      </c>
      <c r="P145" s="13">
        <f t="shared" si="3"/>
        <v>1</v>
      </c>
      <c r="Q145" s="13">
        <f t="shared" si="4"/>
        <v>0.5</v>
      </c>
      <c r="AD145" s="20">
        <f t="shared" si="7"/>
        <v>0</v>
      </c>
      <c r="AE145" s="13" t="s">
        <v>197</v>
      </c>
      <c r="AF145" s="13">
        <v>400</v>
      </c>
      <c r="AH145" s="16" t="s">
        <v>165</v>
      </c>
      <c r="AK145" s="13" t="s">
        <v>91</v>
      </c>
      <c r="AL145" s="14" t="s">
        <v>169</v>
      </c>
    </row>
    <row r="146" spans="1:39">
      <c r="A146" s="1">
        <v>144</v>
      </c>
      <c r="B146" s="16" t="s">
        <v>108</v>
      </c>
      <c r="C146" s="13" t="s">
        <v>24</v>
      </c>
      <c r="D146" s="14">
        <v>2008</v>
      </c>
      <c r="E146" s="21">
        <v>10.41</v>
      </c>
      <c r="F146" s="15">
        <v>2</v>
      </c>
      <c r="G146" s="16" t="s">
        <v>324</v>
      </c>
      <c r="H146" s="14" t="s">
        <v>462</v>
      </c>
      <c r="I146" s="13">
        <v>19</v>
      </c>
      <c r="J146" s="13" t="s">
        <v>29</v>
      </c>
      <c r="L146" s="16">
        <v>1</v>
      </c>
      <c r="M146" s="13">
        <f t="shared" si="1"/>
        <v>0.5</v>
      </c>
      <c r="N146" s="13">
        <v>0</v>
      </c>
      <c r="O146" s="13">
        <f t="shared" si="2"/>
        <v>0</v>
      </c>
      <c r="P146" s="13">
        <f t="shared" si="3"/>
        <v>1</v>
      </c>
      <c r="Q146" s="13">
        <f t="shared" si="4"/>
        <v>0.5</v>
      </c>
      <c r="R146" s="18">
        <v>1</v>
      </c>
      <c r="S146" s="18">
        <v>0</v>
      </c>
      <c r="T146" s="18">
        <v>0</v>
      </c>
      <c r="U146" s="18">
        <v>0</v>
      </c>
      <c r="V146" s="18">
        <v>0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8">
        <v>0</v>
      </c>
      <c r="AC146" s="18">
        <v>0</v>
      </c>
      <c r="AD146" s="20">
        <f>R146+S146+T146+U146+V146+W146+X146+Y146+Z146+AA146+AB146+AC146</f>
        <v>1</v>
      </c>
      <c r="AE146" s="13" t="s">
        <v>57</v>
      </c>
      <c r="AF146" s="13">
        <v>600</v>
      </c>
      <c r="AH146" s="16" t="s">
        <v>165</v>
      </c>
      <c r="AK146" s="13" t="s">
        <v>91</v>
      </c>
      <c r="AL146" s="14" t="s">
        <v>169</v>
      </c>
    </row>
    <row r="147" spans="1:39" ht="14.25" customHeight="1">
      <c r="A147" s="1">
        <v>145</v>
      </c>
      <c r="B147" s="16" t="s">
        <v>108</v>
      </c>
      <c r="C147" s="13" t="s">
        <v>24</v>
      </c>
      <c r="D147" s="14">
        <v>2008</v>
      </c>
      <c r="E147" s="21">
        <v>10.45</v>
      </c>
      <c r="F147" s="15">
        <v>2</v>
      </c>
      <c r="G147" s="16" t="s">
        <v>325</v>
      </c>
      <c r="H147" s="14" t="s">
        <v>463</v>
      </c>
      <c r="I147" s="13">
        <v>18</v>
      </c>
      <c r="J147" s="13" t="s">
        <v>29</v>
      </c>
      <c r="L147" s="16">
        <v>1</v>
      </c>
      <c r="M147" s="13">
        <f t="shared" si="1"/>
        <v>0.5</v>
      </c>
      <c r="N147" s="13">
        <v>0</v>
      </c>
      <c r="O147" s="13">
        <f t="shared" si="2"/>
        <v>0</v>
      </c>
      <c r="P147" s="13">
        <f t="shared" si="3"/>
        <v>1</v>
      </c>
      <c r="Q147" s="13">
        <f t="shared" si="4"/>
        <v>0.5</v>
      </c>
      <c r="R147" s="18">
        <v>1</v>
      </c>
      <c r="S147" s="18">
        <v>0</v>
      </c>
      <c r="T147" s="18">
        <v>0</v>
      </c>
      <c r="U147" s="18">
        <v>0</v>
      </c>
      <c r="V147" s="18">
        <v>0</v>
      </c>
      <c r="W147" s="18">
        <v>0</v>
      </c>
      <c r="X147" s="18">
        <v>0</v>
      </c>
      <c r="Y147" s="18">
        <v>0</v>
      </c>
      <c r="Z147" s="18">
        <v>0</v>
      </c>
      <c r="AA147" s="18">
        <v>0</v>
      </c>
      <c r="AB147" s="18">
        <v>0</v>
      </c>
      <c r="AC147" s="18">
        <v>0</v>
      </c>
      <c r="AD147" s="20">
        <f t="shared" si="7"/>
        <v>1</v>
      </c>
      <c r="AE147" s="13" t="s">
        <v>156</v>
      </c>
      <c r="AF147" s="13">
        <v>800</v>
      </c>
      <c r="AH147" s="16" t="s">
        <v>165</v>
      </c>
      <c r="AK147" s="13" t="s">
        <v>91</v>
      </c>
      <c r="AL147" s="14" t="s">
        <v>170</v>
      </c>
    </row>
    <row r="148" spans="1:39" ht="14.25" customHeight="1">
      <c r="A148" s="1">
        <v>146</v>
      </c>
      <c r="B148" s="16" t="s">
        <v>108</v>
      </c>
      <c r="C148" s="13" t="s">
        <v>24</v>
      </c>
      <c r="D148" s="14">
        <v>2008</v>
      </c>
      <c r="E148" s="21">
        <v>10.48</v>
      </c>
      <c r="F148" s="15">
        <v>2</v>
      </c>
      <c r="G148" s="16" t="s">
        <v>326</v>
      </c>
      <c r="H148" s="14" t="s">
        <v>464</v>
      </c>
      <c r="I148" s="13">
        <v>17</v>
      </c>
      <c r="J148" s="13" t="s">
        <v>29</v>
      </c>
      <c r="L148" s="16">
        <v>1</v>
      </c>
      <c r="M148" s="13">
        <f t="shared" si="1"/>
        <v>0.5</v>
      </c>
      <c r="N148" s="13">
        <v>0</v>
      </c>
      <c r="O148" s="13">
        <f t="shared" si="2"/>
        <v>0</v>
      </c>
      <c r="P148" s="13">
        <f t="shared" si="3"/>
        <v>1</v>
      </c>
      <c r="Q148" s="13">
        <f t="shared" si="4"/>
        <v>0.5</v>
      </c>
      <c r="R148" s="18">
        <v>1</v>
      </c>
      <c r="S148" s="18">
        <v>0</v>
      </c>
      <c r="T148" s="18">
        <v>0</v>
      </c>
      <c r="U148" s="18">
        <v>0</v>
      </c>
      <c r="V148" s="18">
        <v>0</v>
      </c>
      <c r="W148" s="18">
        <v>0</v>
      </c>
      <c r="X148" s="18">
        <v>0</v>
      </c>
      <c r="Y148" s="18">
        <v>0</v>
      </c>
      <c r="Z148" s="18">
        <v>0</v>
      </c>
      <c r="AA148" s="18">
        <v>0</v>
      </c>
      <c r="AB148" s="18">
        <v>0</v>
      </c>
      <c r="AC148" s="18">
        <v>0</v>
      </c>
      <c r="AD148" s="20">
        <f t="shared" si="7"/>
        <v>1</v>
      </c>
      <c r="AE148" s="13" t="s">
        <v>57</v>
      </c>
      <c r="AF148" s="13">
        <v>1852</v>
      </c>
      <c r="AH148" s="16" t="s">
        <v>165</v>
      </c>
      <c r="AK148" s="13" t="s">
        <v>91</v>
      </c>
      <c r="AL148" s="14" t="s">
        <v>170</v>
      </c>
    </row>
    <row r="149" spans="1:39" ht="14.25" customHeight="1">
      <c r="A149" s="1">
        <v>147</v>
      </c>
      <c r="B149" s="16" t="s">
        <v>108</v>
      </c>
      <c r="C149" s="13" t="s">
        <v>24</v>
      </c>
      <c r="D149" s="14">
        <v>2008</v>
      </c>
      <c r="E149" s="21">
        <v>10.5</v>
      </c>
      <c r="F149" s="15">
        <v>2</v>
      </c>
      <c r="G149" s="16" t="s">
        <v>327</v>
      </c>
      <c r="H149" s="14" t="s">
        <v>465</v>
      </c>
      <c r="I149" s="13">
        <v>16</v>
      </c>
      <c r="J149" s="13" t="s">
        <v>29</v>
      </c>
      <c r="L149" s="16">
        <v>1</v>
      </c>
      <c r="M149" s="13">
        <f t="shared" si="1"/>
        <v>0.5</v>
      </c>
      <c r="N149" s="13">
        <v>0</v>
      </c>
      <c r="O149" s="13">
        <f t="shared" si="2"/>
        <v>0</v>
      </c>
      <c r="P149" s="13">
        <f t="shared" si="3"/>
        <v>1</v>
      </c>
      <c r="Q149" s="13">
        <f t="shared" si="4"/>
        <v>0.5</v>
      </c>
      <c r="R149" s="18">
        <v>1</v>
      </c>
      <c r="S149" s="18">
        <v>0</v>
      </c>
      <c r="T149" s="18">
        <v>0</v>
      </c>
      <c r="U149" s="18">
        <v>0</v>
      </c>
      <c r="V149" s="18">
        <v>0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8">
        <v>0</v>
      </c>
      <c r="AC149" s="18">
        <v>0</v>
      </c>
      <c r="AD149" s="20">
        <f t="shared" si="7"/>
        <v>1</v>
      </c>
      <c r="AE149" s="13" t="s">
        <v>156</v>
      </c>
      <c r="AF149" s="13">
        <v>1852</v>
      </c>
      <c r="AH149" s="16" t="s">
        <v>165</v>
      </c>
      <c r="AK149" s="13" t="s">
        <v>91</v>
      </c>
      <c r="AL149" s="14" t="s">
        <v>170</v>
      </c>
    </row>
    <row r="150" spans="1:39" ht="14.25" customHeight="1">
      <c r="A150" s="1">
        <v>148</v>
      </c>
      <c r="B150" s="16" t="s">
        <v>108</v>
      </c>
      <c r="C150" s="13" t="s">
        <v>24</v>
      </c>
      <c r="D150" s="14">
        <v>2008</v>
      </c>
      <c r="E150" s="21">
        <v>11.02</v>
      </c>
      <c r="F150" s="15">
        <v>2</v>
      </c>
      <c r="G150" s="16" t="s">
        <v>328</v>
      </c>
      <c r="H150" s="14" t="s">
        <v>466</v>
      </c>
      <c r="I150" s="13">
        <v>16</v>
      </c>
      <c r="J150" s="13" t="s">
        <v>29</v>
      </c>
      <c r="L150" s="16">
        <v>1</v>
      </c>
      <c r="M150" s="13">
        <f t="shared" si="1"/>
        <v>0.5</v>
      </c>
      <c r="N150" s="13">
        <v>0</v>
      </c>
      <c r="O150" s="13">
        <f t="shared" si="2"/>
        <v>0</v>
      </c>
      <c r="P150" s="13">
        <f t="shared" si="3"/>
        <v>1</v>
      </c>
      <c r="Q150" s="13">
        <f t="shared" si="4"/>
        <v>0.5</v>
      </c>
      <c r="R150" s="18">
        <v>1</v>
      </c>
      <c r="S150" s="18">
        <v>0</v>
      </c>
      <c r="T150" s="18">
        <v>0</v>
      </c>
      <c r="U150" s="18">
        <v>0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8">
        <v>0</v>
      </c>
      <c r="AB150" s="18">
        <v>0</v>
      </c>
      <c r="AC150" s="18">
        <v>0</v>
      </c>
      <c r="AD150" s="20">
        <f t="shared" si="7"/>
        <v>1</v>
      </c>
      <c r="AE150" s="13" t="s">
        <v>156</v>
      </c>
      <c r="AF150" s="13">
        <v>1852</v>
      </c>
      <c r="AH150" s="16" t="s">
        <v>165</v>
      </c>
      <c r="AK150" s="13" t="s">
        <v>91</v>
      </c>
      <c r="AL150" s="14" t="s">
        <v>170</v>
      </c>
    </row>
    <row r="151" spans="1:39" ht="14.25" customHeight="1">
      <c r="A151" s="1">
        <v>149</v>
      </c>
      <c r="B151" s="16" t="s">
        <v>108</v>
      </c>
      <c r="C151" s="13" t="s">
        <v>24</v>
      </c>
      <c r="D151" s="14">
        <v>2008</v>
      </c>
      <c r="E151" s="21">
        <v>11.08</v>
      </c>
      <c r="F151" s="15">
        <v>2</v>
      </c>
      <c r="G151" s="16" t="s">
        <v>329</v>
      </c>
      <c r="H151" s="14" t="s">
        <v>467</v>
      </c>
      <c r="I151" s="13">
        <v>18</v>
      </c>
      <c r="J151" s="13" t="s">
        <v>29</v>
      </c>
      <c r="L151" s="16">
        <v>1</v>
      </c>
      <c r="M151" s="13">
        <f t="shared" si="1"/>
        <v>0.5</v>
      </c>
      <c r="N151" s="13">
        <v>0</v>
      </c>
      <c r="O151" s="13">
        <f t="shared" si="2"/>
        <v>0</v>
      </c>
      <c r="P151" s="13">
        <f t="shared" si="3"/>
        <v>1</v>
      </c>
      <c r="Q151" s="13">
        <f t="shared" si="4"/>
        <v>0.5</v>
      </c>
      <c r="R151" s="18">
        <v>0</v>
      </c>
      <c r="S151" s="18">
        <v>1</v>
      </c>
      <c r="T151" s="18">
        <v>0</v>
      </c>
      <c r="U151" s="18">
        <v>0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8">
        <v>0</v>
      </c>
      <c r="AC151" s="18">
        <v>0</v>
      </c>
      <c r="AD151" s="20">
        <f t="shared" si="7"/>
        <v>1</v>
      </c>
      <c r="AE151" s="13" t="s">
        <v>156</v>
      </c>
      <c r="AF151" s="13">
        <v>800</v>
      </c>
      <c r="AH151" s="16" t="s">
        <v>165</v>
      </c>
      <c r="AK151" s="13" t="s">
        <v>91</v>
      </c>
      <c r="AL151" s="14" t="s">
        <v>170</v>
      </c>
    </row>
    <row r="152" spans="1:39" ht="14.25" customHeight="1">
      <c r="A152" s="1">
        <v>150</v>
      </c>
      <c r="B152" s="16" t="s">
        <v>108</v>
      </c>
      <c r="C152" s="13" t="s">
        <v>24</v>
      </c>
      <c r="D152" s="14">
        <v>2008</v>
      </c>
      <c r="E152" s="21">
        <v>11.19</v>
      </c>
      <c r="F152" s="15">
        <v>2</v>
      </c>
      <c r="G152" s="16" t="s">
        <v>330</v>
      </c>
      <c r="H152" s="14" t="s">
        <v>468</v>
      </c>
      <c r="I152" s="13">
        <v>14</v>
      </c>
      <c r="J152" s="13" t="s">
        <v>29</v>
      </c>
      <c r="L152" s="16">
        <v>1</v>
      </c>
      <c r="M152" s="13">
        <f t="shared" si="1"/>
        <v>0.5</v>
      </c>
      <c r="N152" s="13">
        <v>0</v>
      </c>
      <c r="O152" s="13">
        <f t="shared" si="2"/>
        <v>0</v>
      </c>
      <c r="P152" s="13">
        <f t="shared" si="3"/>
        <v>1</v>
      </c>
      <c r="Q152" s="13">
        <f t="shared" si="4"/>
        <v>0.5</v>
      </c>
      <c r="R152" s="18">
        <v>0</v>
      </c>
      <c r="S152" s="18">
        <v>1</v>
      </c>
      <c r="T152" s="18">
        <v>0</v>
      </c>
      <c r="U152" s="18">
        <v>0</v>
      </c>
      <c r="V152" s="18">
        <v>0</v>
      </c>
      <c r="W152" s="18">
        <v>0</v>
      </c>
      <c r="X152" s="18">
        <v>0</v>
      </c>
      <c r="Y152" s="18">
        <v>0</v>
      </c>
      <c r="Z152" s="18">
        <v>0</v>
      </c>
      <c r="AA152" s="18">
        <v>0</v>
      </c>
      <c r="AB152" s="18">
        <v>0</v>
      </c>
      <c r="AC152" s="18">
        <v>0</v>
      </c>
      <c r="AD152" s="20">
        <f t="shared" si="7"/>
        <v>1</v>
      </c>
      <c r="AE152" s="13" t="s">
        <v>57</v>
      </c>
      <c r="AF152" s="13">
        <v>800</v>
      </c>
      <c r="AH152" s="16" t="s">
        <v>165</v>
      </c>
      <c r="AK152" s="13" t="s">
        <v>91</v>
      </c>
      <c r="AL152" s="14" t="s">
        <v>170</v>
      </c>
    </row>
    <row r="153" spans="1:39" ht="14.25" customHeight="1">
      <c r="A153" s="1">
        <v>151</v>
      </c>
      <c r="B153" s="16" t="s">
        <v>108</v>
      </c>
      <c r="C153" s="13" t="s">
        <v>24</v>
      </c>
      <c r="D153" s="14">
        <v>2008</v>
      </c>
      <c r="E153" s="21">
        <v>11.35</v>
      </c>
      <c r="F153" s="15">
        <v>2</v>
      </c>
      <c r="G153" s="16" t="s">
        <v>331</v>
      </c>
      <c r="H153" s="14" t="s">
        <v>469</v>
      </c>
      <c r="I153" s="13">
        <v>19</v>
      </c>
      <c r="J153" s="13" t="s">
        <v>29</v>
      </c>
      <c r="L153" s="16">
        <v>2</v>
      </c>
      <c r="M153" s="13">
        <f t="shared" si="1"/>
        <v>1</v>
      </c>
      <c r="N153" s="13">
        <v>1</v>
      </c>
      <c r="O153" s="13">
        <f t="shared" si="2"/>
        <v>0.5</v>
      </c>
      <c r="P153" s="13">
        <f t="shared" si="3"/>
        <v>3</v>
      </c>
      <c r="Q153" s="13">
        <f t="shared" si="4"/>
        <v>1.5</v>
      </c>
      <c r="R153" s="18">
        <v>2</v>
      </c>
      <c r="S153" s="18">
        <v>0</v>
      </c>
      <c r="T153" s="18">
        <v>0</v>
      </c>
      <c r="U153" s="18">
        <v>0</v>
      </c>
      <c r="V153" s="18">
        <v>0</v>
      </c>
      <c r="W153" s="18">
        <v>1</v>
      </c>
      <c r="X153" s="18">
        <v>0</v>
      </c>
      <c r="Y153" s="18">
        <v>0</v>
      </c>
      <c r="Z153" s="18">
        <v>0</v>
      </c>
      <c r="AA153" s="18">
        <v>0</v>
      </c>
      <c r="AB153" s="18">
        <v>0</v>
      </c>
      <c r="AC153" s="18">
        <v>0</v>
      </c>
      <c r="AD153" s="20">
        <f t="shared" si="7"/>
        <v>3</v>
      </c>
      <c r="AE153" s="13" t="s">
        <v>198</v>
      </c>
      <c r="AF153" s="13" t="s">
        <v>193</v>
      </c>
      <c r="AH153" s="16" t="s">
        <v>165</v>
      </c>
      <c r="AK153" s="13" t="s">
        <v>91</v>
      </c>
      <c r="AL153" s="14" t="s">
        <v>170</v>
      </c>
    </row>
    <row r="154" spans="1:39" ht="14.25" customHeight="1">
      <c r="A154" s="1">
        <v>152</v>
      </c>
      <c r="B154" s="16" t="s">
        <v>108</v>
      </c>
      <c r="C154" s="13" t="s">
        <v>24</v>
      </c>
      <c r="D154" s="14">
        <v>2008</v>
      </c>
      <c r="E154" s="21">
        <v>11.55</v>
      </c>
      <c r="F154" s="15">
        <v>2</v>
      </c>
      <c r="G154" s="16" t="s">
        <v>332</v>
      </c>
      <c r="H154" s="14" t="s">
        <v>470</v>
      </c>
      <c r="I154" s="13">
        <v>22</v>
      </c>
      <c r="J154" s="13" t="s">
        <v>29</v>
      </c>
      <c r="L154" s="16">
        <v>2</v>
      </c>
      <c r="M154" s="13">
        <f t="shared" si="1"/>
        <v>1</v>
      </c>
      <c r="N154" s="13">
        <v>0</v>
      </c>
      <c r="O154" s="13">
        <f t="shared" si="2"/>
        <v>0</v>
      </c>
      <c r="P154" s="13">
        <f t="shared" si="3"/>
        <v>2</v>
      </c>
      <c r="Q154" s="13">
        <f t="shared" si="4"/>
        <v>1</v>
      </c>
      <c r="AD154" s="20">
        <f t="shared" si="7"/>
        <v>0</v>
      </c>
      <c r="AE154" s="13" t="s">
        <v>57</v>
      </c>
      <c r="AF154" s="13">
        <v>1852</v>
      </c>
      <c r="AH154" s="16" t="s">
        <v>165</v>
      </c>
      <c r="AK154" s="13" t="s">
        <v>91</v>
      </c>
      <c r="AL154" s="14" t="s">
        <v>170</v>
      </c>
    </row>
    <row r="155" spans="1:39">
      <c r="A155" s="1">
        <v>153</v>
      </c>
      <c r="B155" s="16" t="s">
        <v>108</v>
      </c>
      <c r="C155" s="13" t="s">
        <v>24</v>
      </c>
      <c r="D155" s="14">
        <v>2008</v>
      </c>
      <c r="E155" s="21">
        <v>11.56</v>
      </c>
      <c r="F155" s="15">
        <v>2</v>
      </c>
      <c r="G155" s="16" t="s">
        <v>333</v>
      </c>
      <c r="H155" s="14" t="s">
        <v>471</v>
      </c>
      <c r="I155" s="13">
        <v>17</v>
      </c>
      <c r="J155" s="13" t="s">
        <v>29</v>
      </c>
      <c r="L155" s="16">
        <v>3</v>
      </c>
      <c r="M155" s="13">
        <f t="shared" si="1"/>
        <v>1.5</v>
      </c>
      <c r="N155" s="13">
        <v>2</v>
      </c>
      <c r="O155" s="13">
        <f t="shared" si="2"/>
        <v>1</v>
      </c>
      <c r="P155" s="13">
        <f t="shared" si="3"/>
        <v>5</v>
      </c>
      <c r="Q155" s="13">
        <f t="shared" si="4"/>
        <v>2.5</v>
      </c>
      <c r="R155" s="18">
        <v>3</v>
      </c>
      <c r="S155" s="18">
        <v>0</v>
      </c>
      <c r="T155" s="18">
        <v>0</v>
      </c>
      <c r="U155" s="18">
        <v>0</v>
      </c>
      <c r="V155" s="18">
        <v>0</v>
      </c>
      <c r="W155" s="18">
        <v>0</v>
      </c>
      <c r="X155" s="18">
        <v>0</v>
      </c>
      <c r="Y155" s="18">
        <v>0</v>
      </c>
      <c r="Z155" s="18">
        <v>0</v>
      </c>
      <c r="AA155" s="18">
        <v>0</v>
      </c>
      <c r="AB155" s="18">
        <v>0</v>
      </c>
      <c r="AC155" s="18">
        <v>0</v>
      </c>
      <c r="AD155" s="20">
        <f t="shared" si="7"/>
        <v>3</v>
      </c>
      <c r="AE155" s="13" t="s">
        <v>156</v>
      </c>
      <c r="AH155" s="16" t="s">
        <v>166</v>
      </c>
      <c r="AI155" s="13">
        <v>7.1</v>
      </c>
      <c r="AJ155" s="13" t="s">
        <v>185</v>
      </c>
      <c r="AK155" s="13" t="s">
        <v>91</v>
      </c>
    </row>
    <row r="156" spans="1:39">
      <c r="A156" s="1">
        <v>154</v>
      </c>
      <c r="B156" s="16" t="s">
        <v>108</v>
      </c>
      <c r="C156" s="13" t="s">
        <v>24</v>
      </c>
      <c r="D156" s="14">
        <v>2008</v>
      </c>
      <c r="E156" s="21">
        <v>12.52</v>
      </c>
      <c r="F156" s="15">
        <v>2</v>
      </c>
      <c r="G156" s="16" t="s">
        <v>484</v>
      </c>
      <c r="H156" s="14" t="s">
        <v>483</v>
      </c>
      <c r="I156" s="13">
        <v>17</v>
      </c>
      <c r="K156" s="13" t="s">
        <v>116</v>
      </c>
      <c r="L156" s="16">
        <v>0</v>
      </c>
      <c r="M156" s="13">
        <f t="shared" si="1"/>
        <v>0</v>
      </c>
      <c r="N156" s="13">
        <v>0</v>
      </c>
      <c r="O156" s="13">
        <f t="shared" si="2"/>
        <v>0</v>
      </c>
      <c r="P156" s="13">
        <f t="shared" si="3"/>
        <v>0</v>
      </c>
      <c r="Q156" s="13">
        <f t="shared" si="4"/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  <c r="Z156" s="18">
        <v>0</v>
      </c>
      <c r="AA156" s="18">
        <v>0</v>
      </c>
      <c r="AB156" s="18">
        <v>0</v>
      </c>
      <c r="AC156" s="18">
        <v>0</v>
      </c>
      <c r="AD156" s="20">
        <f t="shared" si="7"/>
        <v>0</v>
      </c>
      <c r="AH156" s="16" t="s">
        <v>166</v>
      </c>
      <c r="AK156" s="13" t="s">
        <v>91</v>
      </c>
      <c r="AM156" s="15" t="s">
        <v>186</v>
      </c>
    </row>
    <row r="157" spans="1:39">
      <c r="A157" s="1">
        <v>155</v>
      </c>
      <c r="B157" s="16" t="s">
        <v>187</v>
      </c>
      <c r="C157" s="13" t="s">
        <v>24</v>
      </c>
      <c r="D157" s="14">
        <v>2008</v>
      </c>
      <c r="E157" s="21">
        <v>10</v>
      </c>
      <c r="F157" s="15">
        <v>2</v>
      </c>
      <c r="G157" s="16" t="s">
        <v>334</v>
      </c>
      <c r="H157" s="14" t="s">
        <v>472</v>
      </c>
      <c r="I157" s="13">
        <v>9</v>
      </c>
      <c r="K157" s="13" t="s">
        <v>188</v>
      </c>
      <c r="L157" s="16">
        <v>0</v>
      </c>
      <c r="M157" s="13">
        <f t="shared" si="1"/>
        <v>0</v>
      </c>
      <c r="N157" s="13">
        <v>0</v>
      </c>
      <c r="O157" s="13">
        <f t="shared" si="2"/>
        <v>0</v>
      </c>
      <c r="P157" s="13">
        <f t="shared" si="3"/>
        <v>0</v>
      </c>
      <c r="Q157" s="13">
        <f t="shared" si="4"/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18">
        <v>0</v>
      </c>
      <c r="X157" s="18">
        <v>0</v>
      </c>
      <c r="Y157" s="18">
        <v>0</v>
      </c>
      <c r="Z157" s="18">
        <v>0</v>
      </c>
      <c r="AA157" s="18">
        <v>0</v>
      </c>
      <c r="AB157" s="18">
        <v>0</v>
      </c>
      <c r="AC157" s="18">
        <v>0</v>
      </c>
      <c r="AD157" s="20">
        <f t="shared" si="7"/>
        <v>0</v>
      </c>
      <c r="AH157" s="16" t="s">
        <v>166</v>
      </c>
      <c r="AK157" s="13" t="s">
        <v>91</v>
      </c>
    </row>
    <row r="158" spans="1:39">
      <c r="A158" s="1">
        <v>156</v>
      </c>
      <c r="B158" s="16" t="s">
        <v>187</v>
      </c>
      <c r="C158" s="13" t="s">
        <v>24</v>
      </c>
      <c r="D158" s="14">
        <v>2008</v>
      </c>
      <c r="E158" s="21">
        <v>10.11</v>
      </c>
      <c r="F158" s="15">
        <v>2</v>
      </c>
      <c r="G158" s="16" t="s">
        <v>335</v>
      </c>
      <c r="H158" s="14" t="s">
        <v>473</v>
      </c>
      <c r="I158" s="13">
        <v>10</v>
      </c>
      <c r="K158" s="13" t="s">
        <v>147</v>
      </c>
      <c r="L158" s="16">
        <v>0</v>
      </c>
      <c r="M158" s="13">
        <f t="shared" si="1"/>
        <v>0</v>
      </c>
      <c r="N158" s="13">
        <v>0</v>
      </c>
      <c r="O158" s="13">
        <f t="shared" si="2"/>
        <v>0</v>
      </c>
      <c r="P158" s="13">
        <f>N158+L158</f>
        <v>0</v>
      </c>
      <c r="Q158" s="13">
        <f t="shared" si="4"/>
        <v>0</v>
      </c>
      <c r="R158" s="18">
        <v>0</v>
      </c>
      <c r="S158" s="18">
        <v>0</v>
      </c>
      <c r="T158" s="18">
        <v>0</v>
      </c>
      <c r="U158" s="18">
        <v>0</v>
      </c>
      <c r="V158" s="18">
        <v>0</v>
      </c>
      <c r="W158" s="18">
        <v>0</v>
      </c>
      <c r="X158" s="18">
        <v>0</v>
      </c>
      <c r="Y158" s="18">
        <v>0</v>
      </c>
      <c r="Z158" s="18">
        <v>0</v>
      </c>
      <c r="AA158" s="18">
        <v>0</v>
      </c>
      <c r="AB158" s="18">
        <v>0</v>
      </c>
      <c r="AC158" s="18">
        <v>0</v>
      </c>
      <c r="AD158" s="20">
        <f t="shared" si="7"/>
        <v>0</v>
      </c>
      <c r="AH158" s="16" t="s">
        <v>166</v>
      </c>
      <c r="AK158" s="13" t="s">
        <v>91</v>
      </c>
      <c r="AM158" s="15" t="s">
        <v>189</v>
      </c>
    </row>
    <row r="159" spans="1:39">
      <c r="A159" s="1">
        <v>157</v>
      </c>
      <c r="B159" s="16" t="s">
        <v>187</v>
      </c>
      <c r="C159" s="13" t="s">
        <v>24</v>
      </c>
      <c r="D159" s="14">
        <v>2008</v>
      </c>
      <c r="E159" s="21">
        <v>10.199999999999999</v>
      </c>
      <c r="F159" s="15">
        <v>2</v>
      </c>
      <c r="G159" s="16" t="s">
        <v>336</v>
      </c>
      <c r="H159" s="14" t="s">
        <v>474</v>
      </c>
      <c r="I159" s="13">
        <v>9</v>
      </c>
      <c r="J159" s="13" t="s">
        <v>29</v>
      </c>
      <c r="L159" s="16">
        <v>1</v>
      </c>
      <c r="M159" s="13">
        <f t="shared" si="1"/>
        <v>0.5</v>
      </c>
      <c r="N159" s="13">
        <v>3</v>
      </c>
      <c r="O159" s="13">
        <f t="shared" si="2"/>
        <v>1.5</v>
      </c>
      <c r="P159" s="13">
        <f>N159+L159</f>
        <v>4</v>
      </c>
      <c r="Q159" s="13">
        <f t="shared" si="4"/>
        <v>2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18">
        <v>1</v>
      </c>
      <c r="AD159" s="20">
        <f t="shared" si="7"/>
        <v>1</v>
      </c>
      <c r="AE159" s="13" t="s">
        <v>197</v>
      </c>
      <c r="AH159" s="16" t="s">
        <v>166</v>
      </c>
      <c r="AK159" s="13" t="s">
        <v>91</v>
      </c>
      <c r="AM159" s="15" t="s">
        <v>190</v>
      </c>
    </row>
    <row r="160" spans="1:39">
      <c r="A160" s="1">
        <v>158</v>
      </c>
      <c r="B160" s="16" t="s">
        <v>187</v>
      </c>
      <c r="C160" s="13" t="s">
        <v>24</v>
      </c>
      <c r="D160" s="14">
        <v>2008</v>
      </c>
      <c r="E160" s="21">
        <v>10.23</v>
      </c>
      <c r="F160" s="15">
        <v>2</v>
      </c>
      <c r="G160" s="16" t="s">
        <v>337</v>
      </c>
      <c r="H160" s="14" t="s">
        <v>475</v>
      </c>
      <c r="I160" s="13">
        <v>9</v>
      </c>
      <c r="J160" s="13" t="s">
        <v>29</v>
      </c>
      <c r="L160" s="16">
        <v>0</v>
      </c>
      <c r="M160" s="13">
        <f t="shared" si="1"/>
        <v>0</v>
      </c>
      <c r="N160" s="13">
        <v>1</v>
      </c>
      <c r="O160" s="13">
        <f t="shared" si="2"/>
        <v>0.5</v>
      </c>
      <c r="P160" s="13">
        <f>N160+L160</f>
        <v>1</v>
      </c>
      <c r="Q160" s="13">
        <f t="shared" si="4"/>
        <v>0.5</v>
      </c>
      <c r="R160" s="18">
        <v>0</v>
      </c>
      <c r="S160" s="18">
        <v>1</v>
      </c>
      <c r="T160" s="18">
        <v>0</v>
      </c>
      <c r="U160" s="18">
        <v>0</v>
      </c>
      <c r="V160" s="18">
        <v>0</v>
      </c>
      <c r="W160" s="18">
        <v>0</v>
      </c>
      <c r="X160" s="18">
        <v>0</v>
      </c>
      <c r="Y160" s="18">
        <v>0</v>
      </c>
      <c r="Z160" s="18">
        <v>0</v>
      </c>
      <c r="AA160" s="18">
        <v>0</v>
      </c>
      <c r="AB160" s="18">
        <v>0</v>
      </c>
      <c r="AC160" s="18">
        <v>0</v>
      </c>
      <c r="AD160" s="20">
        <f t="shared" si="7"/>
        <v>1</v>
      </c>
      <c r="AE160" s="13" t="s">
        <v>199</v>
      </c>
      <c r="AH160" s="16" t="s">
        <v>166</v>
      </c>
      <c r="AK160" s="13" t="s">
        <v>91</v>
      </c>
      <c r="AM160" s="15" t="s">
        <v>191</v>
      </c>
    </row>
    <row r="161" spans="1:39">
      <c r="A161" s="1">
        <v>159</v>
      </c>
      <c r="B161" s="16" t="s">
        <v>187</v>
      </c>
      <c r="C161" s="13" t="s">
        <v>24</v>
      </c>
      <c r="D161" s="14">
        <v>2008</v>
      </c>
      <c r="E161" s="21">
        <v>11.2</v>
      </c>
      <c r="F161" s="15">
        <v>2</v>
      </c>
      <c r="G161" s="16" t="s">
        <v>338</v>
      </c>
      <c r="H161" s="14" t="s">
        <v>476</v>
      </c>
      <c r="I161" s="13">
        <v>9</v>
      </c>
      <c r="J161" s="13" t="s">
        <v>29</v>
      </c>
      <c r="L161" s="16">
        <v>0</v>
      </c>
      <c r="M161" s="13">
        <f t="shared" si="1"/>
        <v>0</v>
      </c>
      <c r="N161" s="13">
        <v>1</v>
      </c>
      <c r="O161" s="13">
        <f t="shared" si="2"/>
        <v>0.5</v>
      </c>
      <c r="P161" s="13">
        <f>N161+L161</f>
        <v>1</v>
      </c>
      <c r="Q161" s="13">
        <f t="shared" si="4"/>
        <v>0.5</v>
      </c>
      <c r="AE161" s="13" t="s">
        <v>197</v>
      </c>
      <c r="AH161" s="16" t="s">
        <v>166</v>
      </c>
      <c r="AK161" s="13" t="s">
        <v>91</v>
      </c>
      <c r="AM161" s="15" t="s">
        <v>192</v>
      </c>
    </row>
  </sheetData>
  <mergeCells count="2">
    <mergeCell ref="B1:D1"/>
    <mergeCell ref="R1:AD1"/>
  </mergeCells>
  <pageMargins left="0.7" right="0.7" top="0.75" bottom="0.75" header="0.3" footer="0.3"/>
  <pageSetup paperSize="9" orientation="portrait" horizontalDpi="300" verticalDpi="300" r:id="rId1"/>
  <ignoredErrors>
    <ignoredError sqref="AD14 AD14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2012-11-05T02:06:31Z</dcterms:created>
  <dcterms:modified xsi:type="dcterms:W3CDTF">2012-11-27T06:39:40Z</dcterms:modified>
</cp:coreProperties>
</file>