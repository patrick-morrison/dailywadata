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526"/>
  <workbookPr autoCompressPictures="0"/>
  <bookViews>
    <workbookView xWindow="1160" yWindow="1140" windowWidth="25600" windowHeight="1606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202" i="1" l="1"/>
  <c r="L190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1" i="1"/>
  <c r="L192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162" i="1"/>
  <c r="L156" i="1"/>
  <c r="AC163" i="1"/>
  <c r="AC164" i="1"/>
  <c r="AC165" i="1"/>
  <c r="AC166" i="1"/>
  <c r="AC167" i="1"/>
  <c r="AC168" i="1"/>
  <c r="AC169" i="1"/>
  <c r="AC170" i="1"/>
  <c r="AC171" i="1"/>
  <c r="N163" i="1"/>
  <c r="O163" i="1"/>
  <c r="P163" i="1"/>
  <c r="N164" i="1"/>
  <c r="O164" i="1"/>
  <c r="P164" i="1"/>
  <c r="N165" i="1"/>
  <c r="O165" i="1"/>
  <c r="P165" i="1"/>
  <c r="N166" i="1"/>
  <c r="O166" i="1"/>
  <c r="P166" i="1"/>
  <c r="N167" i="1"/>
  <c r="O167" i="1"/>
  <c r="P167" i="1"/>
  <c r="N168" i="1"/>
  <c r="O168" i="1"/>
  <c r="P168" i="1"/>
  <c r="N169" i="1"/>
  <c r="O169" i="1"/>
  <c r="P169" i="1"/>
  <c r="N170" i="1"/>
  <c r="O170" i="1"/>
  <c r="P170" i="1"/>
  <c r="N171" i="1"/>
  <c r="O171" i="1"/>
  <c r="P171" i="1"/>
  <c r="L163" i="1"/>
  <c r="L164" i="1"/>
  <c r="L165" i="1"/>
  <c r="L166" i="1"/>
  <c r="L167" i="1"/>
  <c r="L168" i="1"/>
  <c r="L169" i="1"/>
  <c r="L170" i="1"/>
  <c r="L171" i="1"/>
  <c r="L40" i="1"/>
  <c r="AC13" i="1"/>
  <c r="AC11" i="1"/>
  <c r="AC4" i="1"/>
  <c r="AC5" i="1"/>
  <c r="AC6" i="1"/>
  <c r="AC7" i="1"/>
  <c r="AC8" i="1"/>
  <c r="AC9" i="1"/>
  <c r="AC10" i="1"/>
  <c r="AC12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3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3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7" i="1"/>
  <c r="L158" i="1"/>
  <c r="L159" i="1"/>
  <c r="L160" i="1"/>
  <c r="L161" i="1"/>
  <c r="L4" i="1"/>
  <c r="L5" i="1"/>
  <c r="L6" i="1"/>
  <c r="L7" i="1"/>
  <c r="L3" i="1"/>
</calcChain>
</file>

<file path=xl/sharedStrings.xml><?xml version="1.0" encoding="utf-8"?>
<sst xmlns="http://schemas.openxmlformats.org/spreadsheetml/2006/main" count="2255" uniqueCount="714">
  <si>
    <t>Date</t>
  </si>
  <si>
    <t>Time</t>
  </si>
  <si>
    <t>Observers</t>
  </si>
  <si>
    <t>Day</t>
  </si>
  <si>
    <t>Month</t>
  </si>
  <si>
    <t>Year</t>
  </si>
  <si>
    <t>24hrs</t>
  </si>
  <si>
    <t>No. Observers</t>
  </si>
  <si>
    <t>Latitude</t>
  </si>
  <si>
    <t>Longitude</t>
  </si>
  <si>
    <t>No. Adult Whales</t>
  </si>
  <si>
    <t>Normalised per person</t>
  </si>
  <si>
    <t>No. calves</t>
  </si>
  <si>
    <t>Total No. whales</t>
  </si>
  <si>
    <t>Whales Sighted Relative to Vessel</t>
  </si>
  <si>
    <t>Distance (m)</t>
  </si>
  <si>
    <t>Whale Travelling</t>
  </si>
  <si>
    <t>Location</t>
  </si>
  <si>
    <t>Speed Over Ground (knots)</t>
  </si>
  <si>
    <t>Weather Condition</t>
  </si>
  <si>
    <t>Sea/Swell</t>
  </si>
  <si>
    <t>Comments</t>
  </si>
  <si>
    <t>Encounter No.</t>
  </si>
  <si>
    <t>Species (HB/SR)</t>
  </si>
  <si>
    <t>Other Species</t>
  </si>
  <si>
    <t>HB</t>
  </si>
  <si>
    <t>N</t>
  </si>
  <si>
    <t>Whale Behaviours</t>
  </si>
  <si>
    <t>B</t>
  </si>
  <si>
    <t>Bl</t>
  </si>
  <si>
    <t>LT</t>
  </si>
  <si>
    <t>PS</t>
  </si>
  <si>
    <t>L</t>
  </si>
  <si>
    <t>ST</t>
  </si>
  <si>
    <t>CS</t>
  </si>
  <si>
    <t>SH</t>
  </si>
  <si>
    <t>BD</t>
  </si>
  <si>
    <t>BR</t>
  </si>
  <si>
    <t>Other</t>
  </si>
  <si>
    <t>Total</t>
  </si>
  <si>
    <t>28th</t>
  </si>
  <si>
    <t>August</t>
  </si>
  <si>
    <t>Fine, sunny</t>
  </si>
  <si>
    <t>0.75m from SW</t>
  </si>
  <si>
    <t>Off Gantheaume Point</t>
  </si>
  <si>
    <t>Broome - Pender Bay</t>
  </si>
  <si>
    <t>Starboard</t>
  </si>
  <si>
    <t>South Cable Beach</t>
  </si>
  <si>
    <t>Off Cable Beach</t>
  </si>
  <si>
    <t>North Cable Beach, Coconut Wells</t>
  </si>
  <si>
    <t>Coconut Wells</t>
  </si>
  <si>
    <t>NNW</t>
  </si>
  <si>
    <t>NW</t>
  </si>
  <si>
    <t>Compass Heading N</t>
  </si>
  <si>
    <t>Compass Heading N. Whale "rolling on back"</t>
  </si>
  <si>
    <t>Compass Heading N. Whale North West of vessel, vessel travelling north, could describe whale sighted on Port?</t>
  </si>
  <si>
    <t>0.75m to 1m from SW</t>
  </si>
  <si>
    <t>North Coconut Wells</t>
  </si>
  <si>
    <t>Compass Heading NNW</t>
  </si>
  <si>
    <t>Compass Heading N. Entering channel between pearl leases x coast. Water temp is 24.8°C</t>
  </si>
  <si>
    <t>Compass Heading N. Water temp is 24.6°C</t>
  </si>
  <si>
    <t>Compass heading 346°. Water temp is 25°C.</t>
  </si>
  <si>
    <t>Compass heading 351°. Water temp is 25°C.</t>
  </si>
  <si>
    <t>Compass heading 345°. Water temp is 25°C.</t>
  </si>
  <si>
    <t>Compass heading 354°. Water temp is 25°C. Off James Price's Point.</t>
  </si>
  <si>
    <t>South</t>
  </si>
  <si>
    <t>Compass heading 350°. Water temp is 25°C.</t>
  </si>
  <si>
    <t>Compass heading 349.7°. Water temp is 24.9°C.</t>
  </si>
  <si>
    <t>NE</t>
  </si>
  <si>
    <t>Compass heading 345.5°. Water temp is 24.9°C.</t>
  </si>
  <si>
    <t>Compass heading 347°.</t>
  </si>
  <si>
    <t>Compass heading 356°.</t>
  </si>
  <si>
    <t>Compass heading 345°. Water temp is 24.9°C.</t>
  </si>
  <si>
    <t>Compass heading 350°. Water temp is 24.9°C.</t>
  </si>
  <si>
    <t>Compass heading 340°. Water temp is 24.9°C.</t>
  </si>
  <si>
    <t>W</t>
  </si>
  <si>
    <t>Compass heading 356°. Water temp is 24.9°C.</t>
  </si>
  <si>
    <t>NNE</t>
  </si>
  <si>
    <t>Compass heading 004.6°. Water temp is 24.9°C.</t>
  </si>
  <si>
    <t>Compass heading 018°. Water temp is 24.9°C.</t>
  </si>
  <si>
    <t>Compass heading 010.6°. Water temp is 24.9°C.</t>
  </si>
  <si>
    <t>Compass heading 022°N. Water temp is 25°C.</t>
  </si>
  <si>
    <t>0.5m from SSW</t>
  </si>
  <si>
    <t>Compass heading 357°. Water temp is 25°C.</t>
  </si>
  <si>
    <t>Compass heading 354°. Water temp is 24.9°C.</t>
  </si>
  <si>
    <t>Compass heading 357°. Water temp is 24.9°C.</t>
  </si>
  <si>
    <t>Compass heading 041°. Water temp is 24.9°C.</t>
  </si>
  <si>
    <t>Compass heading 36.7°. Water temp is 24.9°C.</t>
  </si>
  <si>
    <t>Compass heading 032°. Water temp is 24.9°C.</t>
  </si>
  <si>
    <t>Compass heading 035°. Water temp is 24.9°C.</t>
  </si>
  <si>
    <t>Compass heading 038°. Water temp is 24.9°C.</t>
  </si>
  <si>
    <t>Stern</t>
  </si>
  <si>
    <t>Compass heading 046°. Water temp is 24.9°C.</t>
  </si>
  <si>
    <t>Compass heading 044°. Water temp is 24.9°C.</t>
  </si>
  <si>
    <t>Compass heading 045°. Water temp is 24.9°C.</t>
  </si>
  <si>
    <t>Compass heading 048°. Water temp is 24.9°C.</t>
  </si>
  <si>
    <t>Compass heading 052°. Water temp is 24.9°C.</t>
  </si>
  <si>
    <t>Compass heading 042°. Water temp is 24.9°C.</t>
  </si>
  <si>
    <t>Compass heading 051°. Water temp is 24.9°C.</t>
  </si>
  <si>
    <t>Compass heading 053°. Water temp is 24°C.</t>
  </si>
  <si>
    <t>Compass heading 054°. Water temp is 24.9°C.</t>
  </si>
  <si>
    <t>29th</t>
  </si>
  <si>
    <t>Pender Bay Raft Point</t>
  </si>
  <si>
    <t>0.6m</t>
  </si>
  <si>
    <t>Compass heading 017°. Water temp is 24.4°C.</t>
  </si>
  <si>
    <t>Compass heading 017°.</t>
  </si>
  <si>
    <t>Compass heading 020°.</t>
  </si>
  <si>
    <t>Compass heading 017°. *Although 8 whales have been recorded (7 adults, 1 calf), breaching and surface travelling have been recorded but not associated with what whales.</t>
  </si>
  <si>
    <t>E</t>
  </si>
  <si>
    <t>500, 200</t>
  </si>
  <si>
    <t>NW, W</t>
  </si>
  <si>
    <t>600, 1200</t>
  </si>
  <si>
    <t>Compass heading 018°. Water temp is 24.4°C. *Blows and breaching, but not specified number.</t>
  </si>
  <si>
    <t>Compass heading 018°.</t>
  </si>
  <si>
    <t>Compass heading 011°. Water temp is 24.4°C. * Blows and breaching, but not specified.</t>
  </si>
  <si>
    <t>2000-4000</t>
  </si>
  <si>
    <t>0.6m SW</t>
  </si>
  <si>
    <t>Compass heading 023°. *Whales on horizon.</t>
  </si>
  <si>
    <t>Compass heading 022°. *breaching and surface travelling, but not specified.</t>
  </si>
  <si>
    <t>Compass heading 015°. Water temp is 24.4°C</t>
  </si>
  <si>
    <t>Compass heading 001°. Water temp is 24.4°C. Whales everywhere, viewing from 07.42 to 07.50.</t>
  </si>
  <si>
    <t>Compass heading 012°. Water temp is 24.4°C.</t>
  </si>
  <si>
    <t>Compass heading 028°. Water temp is 24.5°C. *Whale behaviour not specified.</t>
  </si>
  <si>
    <t>Various</t>
  </si>
  <si>
    <t>Compass heading 024°. Water temp is 24.8°C.</t>
  </si>
  <si>
    <t>Compass heading 019°. Water temp is 25°C. *Unspecified behaviour.</t>
  </si>
  <si>
    <t>500-600</t>
  </si>
  <si>
    <t>Compass heading 028°. Water temp is 25°C.</t>
  </si>
  <si>
    <t>Compass heading  032°. Water temp is 25°C. * Beahviour. Out of Pender Bay.</t>
  </si>
  <si>
    <t>0.7m SW</t>
  </si>
  <si>
    <t>Off Lombadina. Compass heading 019°N. Water temp is 24.9°C.</t>
  </si>
  <si>
    <t>Compass heading 030°N. Water temp is 24.6°C. Off Lombadina</t>
  </si>
  <si>
    <t>Compass heading 025°N. Water temp is 24.6°C. Off Lombadina.</t>
  </si>
  <si>
    <t>Compass heading 021°. Water temp is 24.6°C. Off Lombadina.</t>
  </si>
  <si>
    <t>Compass heading 027°N. Water temp is 24.6°C. Off Lombadina.</t>
  </si>
  <si>
    <t>Compass heading 025°. Water temp is 24.6°C.  Off Lombadina.</t>
  </si>
  <si>
    <t>Compass heading 035°. Water temp is 24.6°C. Off Lombadina.</t>
  </si>
  <si>
    <t>Compass heading 018° N. Off Lombadina.</t>
  </si>
  <si>
    <t>Compass heading 013°N. Water temp 24.6°C. Off Lombadina.</t>
  </si>
  <si>
    <t>Compass heading 032°. Water temp is 24.6°C. Off Lombadina.</t>
  </si>
  <si>
    <t>500-1000</t>
  </si>
  <si>
    <t>Compass heading 031°. Water temp 24.8°C.</t>
  </si>
  <si>
    <t>Compass heading 049°. WT 25°C.</t>
  </si>
  <si>
    <t>Compass heading 050°. WT 25°C.</t>
  </si>
  <si>
    <t>Compass heading 043°. WT 25°C.</t>
  </si>
  <si>
    <t>Compass heading 055.8°N. WT 25°C. (Nothing seen across King Sound)</t>
  </si>
  <si>
    <t>CH 079°. Off Caffarelli Island.</t>
  </si>
  <si>
    <t>CH 082°. WT 25°C. One year old.</t>
  </si>
  <si>
    <t>CH 085°.</t>
  </si>
  <si>
    <t>Port</t>
  </si>
  <si>
    <t>CH 085°. WT 25.1°C. Surface travelling out of Camden Sound.</t>
  </si>
  <si>
    <t>CH 082°. WT 25.1°C.</t>
  </si>
  <si>
    <t>Camden Sound - Raft Point</t>
  </si>
  <si>
    <t>0.3m</t>
  </si>
  <si>
    <t>CH 085°. Whales travelling out of Camden Sound.</t>
  </si>
  <si>
    <t>CH 094°. Whales travelling out of Camden Sound. WT 25.3°C.</t>
  </si>
  <si>
    <t>CH 093°N. WT 25.3°C.</t>
  </si>
  <si>
    <t>West</t>
  </si>
  <si>
    <t>1 (turtle)</t>
  </si>
  <si>
    <t>Whales were surface travelling out of Camden Sound. CH 096°. WT 25.59°C.</t>
  </si>
  <si>
    <t>CH 096°. WT 25.59°C.</t>
  </si>
  <si>
    <t>CH 088°. WT 25.8°C.</t>
  </si>
  <si>
    <t>CH 099°. WT 25.7°C.</t>
  </si>
  <si>
    <t>CH 070°. WT 26.09°C.</t>
  </si>
  <si>
    <t>30th</t>
  </si>
  <si>
    <t>September</t>
  </si>
  <si>
    <t>North</t>
  </si>
  <si>
    <t>Hall Point - Montgomery Reef</t>
  </si>
  <si>
    <t>0.5m</t>
  </si>
  <si>
    <t>CH 178°. WT 26.09°C.</t>
  </si>
  <si>
    <t>SW</t>
  </si>
  <si>
    <t>CH 179°. WT 26.09°C.</t>
  </si>
  <si>
    <t>CH 182°. WT 26°C.</t>
  </si>
  <si>
    <t>S</t>
  </si>
  <si>
    <t>CH 176°. WT 26°C.</t>
  </si>
  <si>
    <t>800, 1600</t>
  </si>
  <si>
    <t>CH 180°. WT 26°C.</t>
  </si>
  <si>
    <t>CH 179°. WT 26°C.</t>
  </si>
  <si>
    <t>CH 183°. WT 26°C.</t>
  </si>
  <si>
    <t>CH 181°. WT 26°C.</t>
  </si>
  <si>
    <t>CH 184°. WT 26°C.</t>
  </si>
  <si>
    <t>1st</t>
  </si>
  <si>
    <t>Ract Point Montgomery Reef - One Arm Point</t>
  </si>
  <si>
    <t>Flat</t>
  </si>
  <si>
    <t>9.00 - 10.30</t>
  </si>
  <si>
    <t>Helicopter survey area. 1km and around. Latitude Ract Point Anchorage region.</t>
  </si>
  <si>
    <t>Turtles</t>
  </si>
  <si>
    <t>CH South from Montgomery Reef.</t>
  </si>
  <si>
    <t>CH Edge of Montgomery Reef.</t>
  </si>
  <si>
    <t>CH 250° N. WT 26.9°C.</t>
  </si>
  <si>
    <t>CH 264°. WT 26.5</t>
  </si>
  <si>
    <t>CH 261°. WT 26.2</t>
  </si>
  <si>
    <t>CH 262°. WT 26.4. South end of Montgomery Reef.</t>
  </si>
  <si>
    <t>CH 275°. WT 26.2.</t>
  </si>
  <si>
    <t>CH 253°. WT 26. Opposite Ceasar Island.</t>
  </si>
  <si>
    <t>CH 256. WT 26.</t>
  </si>
  <si>
    <t>Montgomery Reef - One Arm Point</t>
  </si>
  <si>
    <t>CH 254. WT 26.</t>
  </si>
  <si>
    <t>CH 263. WT 25.4.</t>
  </si>
  <si>
    <t>CH 222. WT 25.4.</t>
  </si>
  <si>
    <t>CH 210. WT 25.2.</t>
  </si>
  <si>
    <t>CH 268°. WT 25.3.</t>
  </si>
  <si>
    <t>2nd</t>
  </si>
  <si>
    <t>One Arm Point - Pender Bay</t>
  </si>
  <si>
    <t>Calm</t>
  </si>
  <si>
    <t>Turtle</t>
  </si>
  <si>
    <t>CH 061°. WT 25.2.</t>
  </si>
  <si>
    <t>CH 052. WT 25.2</t>
  </si>
  <si>
    <t>CH 322. Surface travelling very fast through the channel, 4kts tidal current against them.</t>
  </si>
  <si>
    <t>CH 320.</t>
  </si>
  <si>
    <t>CH 132. WT 25.2.</t>
  </si>
  <si>
    <t>CH 277. WT 25.2.</t>
  </si>
  <si>
    <t>CH 273. WT 25.2.</t>
  </si>
  <si>
    <t>1000-3000</t>
  </si>
  <si>
    <t>CH 257. WT 25.2.</t>
  </si>
  <si>
    <t>CH 256. WT 25.2.</t>
  </si>
  <si>
    <t>Pender Bay</t>
  </si>
  <si>
    <t>CH 304. Small pod breaching by calf.</t>
  </si>
  <si>
    <t>CH 244. WT 25.1.</t>
  </si>
  <si>
    <t>CH 245. WT 25.1.</t>
  </si>
  <si>
    <t>CH 243. WT 25.1.</t>
  </si>
  <si>
    <t>CH 213. WT 25.1. Whales feeding all around Cape Leveque. Whales feeding along tidal lines.</t>
  </si>
  <si>
    <t>CH 220. WT 25.1.</t>
  </si>
  <si>
    <t>WSW</t>
  </si>
  <si>
    <t>CH 217. WT 25.1.</t>
  </si>
  <si>
    <t>CH 223. WT 25.3.</t>
  </si>
  <si>
    <t>SE</t>
  </si>
  <si>
    <t>CH 217. WT 25.2.</t>
  </si>
  <si>
    <t>50-300</t>
  </si>
  <si>
    <t>CH 222. Breaching, feeding and logging. Opposite Lombadina. Encounter lasted from 11.00 to 11.13.</t>
  </si>
  <si>
    <t>CH 223. WT 25.59. Off beach of Chile Head.</t>
  </si>
  <si>
    <t>CH 225. WT 25.59.</t>
  </si>
  <si>
    <t xml:space="preserve">CH 227. WT 25.9. </t>
  </si>
  <si>
    <t>CH 221. WT 25.59.</t>
  </si>
  <si>
    <t>CH 226. WT 25.59.</t>
  </si>
  <si>
    <t>CH 228. WT 25.59.</t>
  </si>
  <si>
    <t>CH 226. WT 25.5. Travelling inshore.</t>
  </si>
  <si>
    <t>CH 229. WT 25.4. Travelling inshore.</t>
  </si>
  <si>
    <t>0.7m</t>
  </si>
  <si>
    <t>0-200</t>
  </si>
  <si>
    <t>CH 230. WT 25.4. Mating encounter, Channel 7 filmed. 2 males came from W, joined, female and calf departed seperately.</t>
  </si>
  <si>
    <t>CH 203. WT 25.4.</t>
  </si>
  <si>
    <t>CH 205. WT 25.4.</t>
  </si>
  <si>
    <t>CH 209. WT 25.4.</t>
  </si>
  <si>
    <t>CH 205. WT 25.4. Start of Pender Bay.</t>
  </si>
  <si>
    <t>CH 201. WT 25.4.</t>
  </si>
  <si>
    <t>CH 202. WT 25.4.</t>
  </si>
  <si>
    <t>CH 207. WT 25.4.</t>
  </si>
  <si>
    <t>One Arm Point - Pender Bay (Two Moon)</t>
  </si>
  <si>
    <t>0.8m WSW</t>
  </si>
  <si>
    <t>CH 206. WT 25.4.</t>
  </si>
  <si>
    <t>CH 204. WT 25.4.</t>
  </si>
  <si>
    <t>CH 203. WT 25.4. End of survey, anchor at Two Moons.</t>
  </si>
  <si>
    <t>3rd</t>
  </si>
  <si>
    <t>Pender Bay - Broome</t>
  </si>
  <si>
    <t>W 0.5m</t>
  </si>
  <si>
    <t>500-3000</t>
  </si>
  <si>
    <t>CH 304. WT 25.3</t>
  </si>
  <si>
    <t>CH 297. WT 25.2.</t>
  </si>
  <si>
    <t>CH 279. WT 25.2.</t>
  </si>
  <si>
    <t>CH 281. WT 25.2.</t>
  </si>
  <si>
    <t>CH 274. WT 25.2.</t>
  </si>
  <si>
    <t>CH 238. WT 25.3. Around Chimney Rock.</t>
  </si>
  <si>
    <t>CH 227. WT 25.3. Opposite Middle Lagoon.</t>
  </si>
  <si>
    <t>CH 228. WT 25.3.</t>
  </si>
  <si>
    <t>CH 233. WT 25.3.</t>
  </si>
  <si>
    <t>SW 0.5m</t>
  </si>
  <si>
    <t>CH 227. WT 25.3.</t>
  </si>
  <si>
    <t>CH 220. WT 25.3. Two minutes worth of breaching, also pectoral slapping.</t>
  </si>
  <si>
    <t>CH 227. WT 25.3. Breaching very active.</t>
  </si>
  <si>
    <t>CH 229. WT 25.3.</t>
  </si>
  <si>
    <t xml:space="preserve">CH 226. WT 25.3. </t>
  </si>
  <si>
    <t>CH 227. WT 25.3. Mating behaviour - circling and large blows. Exactly the same courtship behaviour as previous day, ended with another bull arriving.</t>
  </si>
  <si>
    <t>Dugong</t>
  </si>
  <si>
    <t>CH 234. WT 25.3. Dugong at surface.</t>
  </si>
  <si>
    <t>CH 234. WT 25.3.</t>
  </si>
  <si>
    <t>CH 221. WT 25.3</t>
  </si>
  <si>
    <t>CH 220. WT 25.3.</t>
  </si>
  <si>
    <t>CH 216. WT 25.3.</t>
  </si>
  <si>
    <t>CH 221. WT 25.3.</t>
  </si>
  <si>
    <t>SSW 0.6m</t>
  </si>
  <si>
    <t>CH 188. WT 25.3.</t>
  </si>
  <si>
    <t>CH 186. WT 25.3.</t>
  </si>
  <si>
    <t>CH 190. WT 25.3.</t>
  </si>
  <si>
    <t>CH 197. WT 25.3.</t>
  </si>
  <si>
    <t>CH 196. WT 25.3. Dugong at surface.</t>
  </si>
  <si>
    <t>CH 193. WT 25.3. Calf lobtailing, mother pectoral slapping.</t>
  </si>
  <si>
    <t>CH 192. WT 25.3.</t>
  </si>
  <si>
    <t>CH 193. WT 25.3.</t>
  </si>
  <si>
    <t>CH 198. WT 25.3.</t>
  </si>
  <si>
    <t>SSW 0.7m</t>
  </si>
  <si>
    <t>CH 172. WT 25.3.</t>
  </si>
  <si>
    <t>CH 177. WT 25.3.</t>
  </si>
  <si>
    <t>CH 173. WT 25.3.</t>
  </si>
  <si>
    <t>10-300</t>
  </si>
  <si>
    <t>CH 218. Surface resting. Filmed.</t>
  </si>
  <si>
    <t>CH 172. WT 25.2.</t>
  </si>
  <si>
    <t>CH 181.</t>
  </si>
  <si>
    <t>CH 178.</t>
  </si>
  <si>
    <t>CH 173.</t>
  </si>
  <si>
    <t>CH 171. WT 25.</t>
  </si>
  <si>
    <t>CH 172. WT 25.</t>
  </si>
  <si>
    <t>CH 173. WT 24.4.</t>
  </si>
  <si>
    <t>CH 170. WT 25.</t>
  </si>
  <si>
    <r>
      <t>17</t>
    </r>
    <r>
      <rPr>
        <sz val="11"/>
        <color theme="1"/>
        <rFont val="Calibri"/>
        <family val="2"/>
      </rPr>
      <t>° 41.50'S</t>
    </r>
  </si>
  <si>
    <t>17° 34.922'S</t>
  </si>
  <si>
    <t>17° 32.471'S</t>
  </si>
  <si>
    <t>17° 31.631'S</t>
  </si>
  <si>
    <t>17° 29.871'S</t>
  </si>
  <si>
    <t>17° 29.353'S</t>
  </si>
  <si>
    <t>17° 27.974'S</t>
  </si>
  <si>
    <t>17° 26.911'S</t>
  </si>
  <si>
    <t>17° 25.408'S</t>
  </si>
  <si>
    <t>17° 24.669'S</t>
  </si>
  <si>
    <t>17° 23.091'S</t>
  </si>
  <si>
    <t>17° 21.967'S</t>
  </si>
  <si>
    <t>17° 20.778'S</t>
  </si>
  <si>
    <t>17° 19.564'S</t>
  </si>
  <si>
    <t>17° 17.209'S</t>
  </si>
  <si>
    <t>17° 15.709'S</t>
  </si>
  <si>
    <t>17° 15.336'S</t>
  </si>
  <si>
    <t>17° 14.166'S</t>
  </si>
  <si>
    <t>17° 10.392'S</t>
  </si>
  <si>
    <t>17° 09.160'S</t>
  </si>
  <si>
    <t>17° 08.308'S</t>
  </si>
  <si>
    <t>17° 07.589'S</t>
  </si>
  <si>
    <t>17° 07.240'S</t>
  </si>
  <si>
    <t>17° 05.378'S</t>
  </si>
  <si>
    <t>17° 04.239'S</t>
  </si>
  <si>
    <t>17° 03.608'S</t>
  </si>
  <si>
    <t>17° 03.212'S</t>
  </si>
  <si>
    <t>17° 02.870'S</t>
  </si>
  <si>
    <t>17° 01.654'S</t>
  </si>
  <si>
    <t>17° 01.364'S</t>
  </si>
  <si>
    <t>16° 59.363'S</t>
  </si>
  <si>
    <t>16° 58.941'S</t>
  </si>
  <si>
    <t>16° 58.607'S</t>
  </si>
  <si>
    <t>16° 58.369'S</t>
  </si>
  <si>
    <t>16° 57.988'S</t>
  </si>
  <si>
    <t>16° 57.547'S</t>
  </si>
  <si>
    <t>16° 57.181'S</t>
  </si>
  <si>
    <t>16° 56.837'S</t>
  </si>
  <si>
    <t>16° 45.972'S</t>
  </si>
  <si>
    <t>16° 45.679'S</t>
  </si>
  <si>
    <t>16° 45.124'S</t>
  </si>
  <si>
    <t>16° 44.558'S</t>
  </si>
  <si>
    <t>16° 44.133'S</t>
  </si>
  <si>
    <t>16° 43.795'S</t>
  </si>
  <si>
    <t>16° 43.586'S</t>
  </si>
  <si>
    <t>16° 43.323'S</t>
  </si>
  <si>
    <t>16° 42.819'S</t>
  </si>
  <si>
    <t>16° 42.478'S</t>
  </si>
  <si>
    <t>16° 41.274'S</t>
  </si>
  <si>
    <t>16° 41.028'S</t>
  </si>
  <si>
    <t>16° 39.472'S</t>
  </si>
  <si>
    <t>16° 37.803'S</t>
  </si>
  <si>
    <t>16° 37.511'S</t>
  </si>
  <si>
    <t>16° 36.734'S</t>
  </si>
  <si>
    <t>16° 35.969'S</t>
  </si>
  <si>
    <t>16° 35.336'S</t>
  </si>
  <si>
    <t>16° 34.784'S</t>
  </si>
  <si>
    <t>16° 33.719'S</t>
  </si>
  <si>
    <t>16° 32.455'S</t>
  </si>
  <si>
    <t>16° 30.995'S</t>
  </si>
  <si>
    <t>16° 30.419'S</t>
  </si>
  <si>
    <t>16° 30.125'S</t>
  </si>
  <si>
    <t>16° 28.752'S</t>
  </si>
  <si>
    <t>16° 27.396'S</t>
  </si>
  <si>
    <t>16° 26.592'S</t>
  </si>
  <si>
    <t>16° 24.505'S</t>
  </si>
  <si>
    <t>16° 22.948'S</t>
  </si>
  <si>
    <t>16° 21.248'S</t>
  </si>
  <si>
    <t>16° 19.944'S</t>
  </si>
  <si>
    <t>16° 18.184'S</t>
  </si>
  <si>
    <t>16° 14.981'S</t>
  </si>
  <si>
    <t>16° 12.437'S</t>
  </si>
  <si>
    <t>16° 02.377'S</t>
  </si>
  <si>
    <t>16° 01.730'S</t>
  </si>
  <si>
    <t>16° 01.205'S</t>
  </si>
  <si>
    <t>16° 01.129'S</t>
  </si>
  <si>
    <t>16° 00.845'S</t>
  </si>
  <si>
    <t>16° 00.395'S</t>
  </si>
  <si>
    <t>16° 00.227'S</t>
  </si>
  <si>
    <t>16° 00.357'S</t>
  </si>
  <si>
    <t>16° 00.569'S</t>
  </si>
  <si>
    <t>16° 00.917'S</t>
  </si>
  <si>
    <t>16° 01.104'S</t>
  </si>
  <si>
    <t>16° 01.826'S</t>
  </si>
  <si>
    <t>16° 02.521'S</t>
  </si>
  <si>
    <t>16° 04.632'S</t>
  </si>
  <si>
    <t>15° 42.067'S</t>
  </si>
  <si>
    <t>15° 42.889'S</t>
  </si>
  <si>
    <t>15° 43.978'S</t>
  </si>
  <si>
    <t>15° 44.829'S</t>
  </si>
  <si>
    <t>15° 47.217'S</t>
  </si>
  <si>
    <t>15° 47.797'S</t>
  </si>
  <si>
    <t>15° 48.987'S</t>
  </si>
  <si>
    <t>15° 50.879'S</t>
  </si>
  <si>
    <t>15° 52.423'S</t>
  </si>
  <si>
    <t>15° 53.472'S</t>
  </si>
  <si>
    <t>15° 58.836'S</t>
  </si>
  <si>
    <t>16° 01.037'S</t>
  </si>
  <si>
    <t>16° 01.603'S</t>
  </si>
  <si>
    <t>16° 01.986'S</t>
  </si>
  <si>
    <t>16° 02.061'S</t>
  </si>
  <si>
    <t>16° 02.670'S</t>
  </si>
  <si>
    <t>16° 02.647'S</t>
  </si>
  <si>
    <t>16° 02.611'S</t>
  </si>
  <si>
    <t>16° 04.897'S</t>
  </si>
  <si>
    <t>16° 05.361'S</t>
  </si>
  <si>
    <t>16° 08.105'S</t>
  </si>
  <si>
    <t>16° 15.502'S</t>
  </si>
  <si>
    <t>16° 22.252'S</t>
  </si>
  <si>
    <t>16° 27.582'S</t>
  </si>
  <si>
    <t>16° 28.235'S</t>
  </si>
  <si>
    <t>16° 27.570'S</t>
  </si>
  <si>
    <t>16° 24.141'S</t>
  </si>
  <si>
    <t>16° 21.063'S</t>
  </si>
  <si>
    <t>16° 20.519'S</t>
  </si>
  <si>
    <t>16° 20.377'S</t>
  </si>
  <si>
    <t>16° 20.357'S</t>
  </si>
  <si>
    <t>16° 20.796'S</t>
  </si>
  <si>
    <t>16° 20.951'S</t>
  </si>
  <si>
    <t>16° 21.046'S</t>
  </si>
  <si>
    <t>16° 20.760'S</t>
  </si>
  <si>
    <t>16° 20.034'S</t>
  </si>
  <si>
    <t>16° 20.534'S</t>
  </si>
  <si>
    <t>16° 20.821'S</t>
  </si>
  <si>
    <t>16° 21.056'S</t>
  </si>
  <si>
    <t>16° 22.580'S</t>
  </si>
  <si>
    <t>16° 22.907'S</t>
  </si>
  <si>
    <t>16° 24.562'S</t>
  </si>
  <si>
    <t>16° 27.564'S</t>
  </si>
  <si>
    <t>16° 28.033'S</t>
  </si>
  <si>
    <t>16° 30.377'S</t>
  </si>
  <si>
    <t>16° 30.737'S</t>
  </si>
  <si>
    <t>16° 31.145'S</t>
  </si>
  <si>
    <t>16° 31.362'S</t>
  </si>
  <si>
    <t>16° 31.779'S</t>
  </si>
  <si>
    <t>16° 32.361'S</t>
  </si>
  <si>
    <t>16° 32.527'S</t>
  </si>
  <si>
    <t>16° 32.760'S</t>
  </si>
  <si>
    <t>16° 33.662'S</t>
  </si>
  <si>
    <t>16° 33.860'S</t>
  </si>
  <si>
    <t>16° 35.687'S</t>
  </si>
  <si>
    <t>16° 36.675'S</t>
  </si>
  <si>
    <t>16° 37.033'S</t>
  </si>
  <si>
    <t>16° 38.238'S</t>
  </si>
  <si>
    <t>16° 38.528'S</t>
  </si>
  <si>
    <t>16° 39.508'S</t>
  </si>
  <si>
    <t>16° 40.608'S</t>
  </si>
  <si>
    <t>16° 41.474'S</t>
  </si>
  <si>
    <t>16° 42.008'S</t>
  </si>
  <si>
    <t>16° 42.456'S</t>
  </si>
  <si>
    <t>16° 42.855'S</t>
  </si>
  <si>
    <t>16° 43.047'S</t>
  </si>
  <si>
    <t>16° 43.304'S</t>
  </si>
  <si>
    <t>16° 43.616'S</t>
  </si>
  <si>
    <t>16° 43.884'S</t>
  </si>
  <si>
    <t>16° 44.184'S</t>
  </si>
  <si>
    <t>16° 45.595'S</t>
  </si>
  <si>
    <t>16° 45.425'S</t>
  </si>
  <si>
    <t>16° 45.281'S</t>
  </si>
  <si>
    <t>16° 45.192'S</t>
  </si>
  <si>
    <t>16° 45.364'S</t>
  </si>
  <si>
    <t>16° 45.903'S</t>
  </si>
  <si>
    <t>16° 46.547'S</t>
  </si>
  <si>
    <t>16° 47.073'S</t>
  </si>
  <si>
    <t>16° 47.494'S</t>
  </si>
  <si>
    <t>16° 49.052'S</t>
  </si>
  <si>
    <t>16° 49.755'S</t>
  </si>
  <si>
    <t>16° 50.585'S</t>
  </si>
  <si>
    <t>16° 51.668'S</t>
  </si>
  <si>
    <t>16° 51.868'S</t>
  </si>
  <si>
    <t>16° 52.301'S</t>
  </si>
  <si>
    <t>16° 54.047'S</t>
  </si>
  <si>
    <t>16° 54.367'S</t>
  </si>
  <si>
    <t>16° 54.809'S</t>
  </si>
  <si>
    <t>16°57.184'S</t>
  </si>
  <si>
    <t>16° 58.903'S</t>
  </si>
  <si>
    <t>16° 59.957'S</t>
  </si>
  <si>
    <t>17° 00.767'S</t>
  </si>
  <si>
    <t>17° 02.168'S</t>
  </si>
  <si>
    <t>17° 02.500'S</t>
  </si>
  <si>
    <t>17° 02.868'S</t>
  </si>
  <si>
    <t>17° 03.679'S</t>
  </si>
  <si>
    <t>17° 04.728'S</t>
  </si>
  <si>
    <t>17° 07.490'S</t>
  </si>
  <si>
    <t>17° 08.224'S</t>
  </si>
  <si>
    <t>17° 08.611'S</t>
  </si>
  <si>
    <t>17° 12.815'S</t>
  </si>
  <si>
    <t>17° 14.152'S</t>
  </si>
  <si>
    <t>17° 15.925'S</t>
  </si>
  <si>
    <t>17° 16.398'S</t>
  </si>
  <si>
    <t>17° 17.035'S</t>
  </si>
  <si>
    <t>17° 17.524'S</t>
  </si>
  <si>
    <t>17° 18.188'S</t>
  </si>
  <si>
    <t>17° 21.233'S</t>
  </si>
  <si>
    <t>17° 23.207'S</t>
  </si>
  <si>
    <t>17° 24.473'S</t>
  </si>
  <si>
    <t>17° 30.523'S</t>
  </si>
  <si>
    <t>17° 32.06'S</t>
  </si>
  <si>
    <t>17° 38.45'S</t>
  </si>
  <si>
    <t>17° 39.86'S</t>
  </si>
  <si>
    <t>17° 44.1648'S</t>
  </si>
  <si>
    <t>17° 44.1649'S</t>
  </si>
  <si>
    <t>17° 48.424'S</t>
  </si>
  <si>
    <t>17° 49.803'S</t>
  </si>
  <si>
    <t>17° 50.284'S</t>
  </si>
  <si>
    <t>17° 55.079'S</t>
  </si>
  <si>
    <t>122° 08.372'E</t>
  </si>
  <si>
    <t>122° 07.574'E</t>
  </si>
  <si>
    <t>122° 07.164'E</t>
  </si>
  <si>
    <t>122° 06.886'E</t>
  </si>
  <si>
    <t>122° 06.832'E</t>
  </si>
  <si>
    <t>122° 06.699'E</t>
  </si>
  <si>
    <t>122° 06.566'E</t>
  </si>
  <si>
    <t>122° 06.404'E</t>
  </si>
  <si>
    <t>122° 06.347'E</t>
  </si>
  <si>
    <t>122° 06.191'E</t>
  </si>
  <si>
    <t>122° 06.067'E</t>
  </si>
  <si>
    <t>122° 05.924'E</t>
  </si>
  <si>
    <t>122° 05.900'E</t>
  </si>
  <si>
    <t>122° 06.348'E</t>
  </si>
  <si>
    <t>122° 06.831'E</t>
  </si>
  <si>
    <t>122° 06.986'E</t>
  </si>
  <si>
    <t>122° 07.407'E</t>
  </si>
  <si>
    <t>122° 08.011'E</t>
  </si>
  <si>
    <t>122° 07.959'E</t>
  </si>
  <si>
    <t>122° 07.983'E</t>
  </si>
  <si>
    <t>122° 08.424'E</t>
  </si>
  <si>
    <t>122° 08.778'E</t>
  </si>
  <si>
    <t>122° 10.279'E</t>
  </si>
  <si>
    <t>122° 11.176'E</t>
  </si>
  <si>
    <t>122° 11.700'E</t>
  </si>
  <si>
    <t>122° 12.043'E</t>
  </si>
  <si>
    <t>122° 12.301'E</t>
  </si>
  <si>
    <t>122° 13.493'E</t>
  </si>
  <si>
    <t>122° 13.890'E</t>
  </si>
  <si>
    <t>122° 16.722'E</t>
  </si>
  <si>
    <t>122° 17.361'E</t>
  </si>
  <si>
    <t>122° 17.865'E</t>
  </si>
  <si>
    <t>122° 18.194'E</t>
  </si>
  <si>
    <t>122° 19.029'E</t>
  </si>
  <si>
    <t>122° 19.359'E</t>
  </si>
  <si>
    <t>122° 19.894'E</t>
  </si>
  <si>
    <t>122° 20.411'E</t>
  </si>
  <si>
    <t>122° 38.326'E</t>
  </si>
  <si>
    <t>122° 38.466'E</t>
  </si>
  <si>
    <t>122° 38.706'E</t>
  </si>
  <si>
    <t>122° 38.961'E</t>
  </si>
  <si>
    <t>122° 39.334'E</t>
  </si>
  <si>
    <t>122° 39.409'E</t>
  </si>
  <si>
    <t>122° 39.496'E</t>
  </si>
  <si>
    <t>122° 39.726'E</t>
  </si>
  <si>
    <t>122° 39.888'E</t>
  </si>
  <si>
    <t>122° 40.274'E</t>
  </si>
  <si>
    <t>122° 40.537'E</t>
  </si>
  <si>
    <t>122° 41.204'E</t>
  </si>
  <si>
    <t>122° 42.016'E</t>
  </si>
  <si>
    <t>122° 42.124'E</t>
  </si>
  <si>
    <t>122° 42.451'E</t>
  </si>
  <si>
    <t>122° 42.922'E</t>
  </si>
  <si>
    <t>122° 43.282'E</t>
  </si>
  <si>
    <t>122° 43.608'E</t>
  </si>
  <si>
    <t>122° 44.229'E</t>
  </si>
  <si>
    <t>122° 44.977'E</t>
  </si>
  <si>
    <t>122° 45.852'E</t>
  </si>
  <si>
    <t>122° 46.362'E</t>
  </si>
  <si>
    <t>122° 47.175'E</t>
  </si>
  <si>
    <t>122° 47.889'E</t>
  </si>
  <si>
    <t>122° 48.361'E</t>
  </si>
  <si>
    <t>122° 49.617'E</t>
  </si>
  <si>
    <t>122° 50.524'E</t>
  </si>
  <si>
    <t>122° 51.540'E</t>
  </si>
  <si>
    <t>122° 52.291'E</t>
  </si>
  <si>
    <t>122° 54.224'E</t>
  </si>
  <si>
    <t>122° 58.197'E</t>
  </si>
  <si>
    <t>123° 12.437'E</t>
  </si>
  <si>
    <t>123° 13.287'E</t>
  </si>
  <si>
    <t>123° 14.427'E</t>
  </si>
  <si>
    <t>123° 16.837'E</t>
  </si>
  <si>
    <t>123° 17.632'E</t>
  </si>
  <si>
    <t>123° 23.692'E</t>
  </si>
  <si>
    <t>123° 28.589'E</t>
  </si>
  <si>
    <t>123° 34.791'E</t>
  </si>
  <si>
    <t>123° 38.369'E</t>
  </si>
  <si>
    <t>123° 44.431'E</t>
  </si>
  <si>
    <t>123° 47.630'E</t>
  </si>
  <si>
    <t>123° 59.600'E</t>
  </si>
  <si>
    <t>124° 17.155'E</t>
  </si>
  <si>
    <t>124° 21.721'E</t>
  </si>
  <si>
    <t>124° 21.698'E</t>
  </si>
  <si>
    <t>124° 21.637'E</t>
  </si>
  <si>
    <t>124° 21.601'E</t>
  </si>
  <si>
    <t>124° 21.471'E</t>
  </si>
  <si>
    <t>124° 21.453'E</t>
  </si>
  <si>
    <t>124° 21.381'E</t>
  </si>
  <si>
    <t>124° 21.265'E</t>
  </si>
  <si>
    <t>124° 21.163'E</t>
  </si>
  <si>
    <t>124° 20.666'E</t>
  </si>
  <si>
    <t>124° 20.531'E</t>
  </si>
  <si>
    <t>124° 20.575'E</t>
  </si>
  <si>
    <t>124° 19.455'E</t>
  </si>
  <si>
    <t>124° 18.021'E</t>
  </si>
  <si>
    <t>124° 17.543'E</t>
  </si>
  <si>
    <t>124° 13.865'E</t>
  </si>
  <si>
    <t>124° 04.371'E</t>
  </si>
  <si>
    <t>123° 55.879'E</t>
  </si>
  <si>
    <t>123° 45.912'E</t>
  </si>
  <si>
    <t>123° 45.047'E</t>
  </si>
  <si>
    <t>123° 34.390'E</t>
  </si>
  <si>
    <t>123° 22.792'E</t>
  </si>
  <si>
    <t>123° 17.105'E</t>
  </si>
  <si>
    <t>123° 06.456'E</t>
  </si>
  <si>
    <t>123° 06.919'E</t>
  </si>
  <si>
    <t>123° 08.328'E</t>
  </si>
  <si>
    <t>123° 06.160'E</t>
  </si>
  <si>
    <t>123° 03.452'E</t>
  </si>
  <si>
    <t>123° 03.542'E</t>
  </si>
  <si>
    <t>123° 02.763'E</t>
  </si>
  <si>
    <t>123° 00.404'E</t>
  </si>
  <si>
    <t>122° 59.702'E</t>
  </si>
  <si>
    <t>122° 59.282'E</t>
  </si>
  <si>
    <t>122° 59.090'E</t>
  </si>
  <si>
    <t>122° 59.813'E</t>
  </si>
  <si>
    <t>122° 58.234'E</t>
  </si>
  <si>
    <t>122° 57.767'E</t>
  </si>
  <si>
    <t>122° 54.913'E</t>
  </si>
  <si>
    <t>122° 54.610'E</t>
  </si>
  <si>
    <t>122° 53.122'E</t>
  </si>
  <si>
    <t>122° 50.437'E</t>
  </si>
  <si>
    <t>122° 50.014'E</t>
  </si>
  <si>
    <t>122° 48.985'E</t>
  </si>
  <si>
    <t>122° 48.623'E</t>
  </si>
  <si>
    <t>122° 48.204'E</t>
  </si>
  <si>
    <t>122° 47.970'E</t>
  </si>
  <si>
    <t>122° 47.531'E</t>
  </si>
  <si>
    <t>122° 46.913'E</t>
  </si>
  <si>
    <t>122° 46.748'E</t>
  </si>
  <si>
    <t>122° 46.497'E</t>
  </si>
  <si>
    <t>122° 45.586'E</t>
  </si>
  <si>
    <t>122° 45.385'E</t>
  </si>
  <si>
    <t>122° 43.485'E</t>
  </si>
  <si>
    <t>122° 42.704'E</t>
  </si>
  <si>
    <t>122° 42.546'E</t>
  </si>
  <si>
    <t>122° 41.961'E</t>
  </si>
  <si>
    <t>122° 41.823'E</t>
  </si>
  <si>
    <t>122° 41.334'E</t>
  </si>
  <si>
    <t>122° 40.838'E</t>
  </si>
  <si>
    <t>122° 40.416'E</t>
  </si>
  <si>
    <t>122° 40.149'E</t>
  </si>
  <si>
    <t>122° 39.944'E</t>
  </si>
  <si>
    <t>122° 39.734'E</t>
  </si>
  <si>
    <t>122° 39.647'E</t>
  </si>
  <si>
    <t>122° 39.518'E</t>
  </si>
  <si>
    <t>122° 39.377'E</t>
  </si>
  <si>
    <t>122° 39.241'E</t>
  </si>
  <si>
    <t>122° 39.092'E</t>
  </si>
  <si>
    <t>122° 36.769'E</t>
  </si>
  <si>
    <t>122° 36.507'E</t>
  </si>
  <si>
    <t>122° 36.231'E</t>
  </si>
  <si>
    <t>122° 35.869'E</t>
  </si>
  <si>
    <t>122° 35.693'E</t>
  </si>
  <si>
    <t>122° 33.666'E</t>
  </si>
  <si>
    <t>122° 32.842'E</t>
  </si>
  <si>
    <t>122° 32.168'E</t>
  </si>
  <si>
    <t>122° 31.652'E</t>
  </si>
  <si>
    <t>122° 29.658'E</t>
  </si>
  <si>
    <t>122° 28.790'E</t>
  </si>
  <si>
    <t>122° 27.726'E</t>
  </si>
  <si>
    <t>122° 26.348'E</t>
  </si>
  <si>
    <t>122° 26.087'E</t>
  </si>
  <si>
    <t>122° 25.578'E</t>
  </si>
  <si>
    <t>122° 23.469'E</t>
  </si>
  <si>
    <t>122° 23.053'E</t>
  </si>
  <si>
    <t>122° 22.508'E</t>
  </si>
  <si>
    <t>122° 19.49'E</t>
  </si>
  <si>
    <t>122° 17.390'E</t>
  </si>
  <si>
    <t>122° 15.934'E</t>
  </si>
  <si>
    <t>122° 14.823'E</t>
  </si>
  <si>
    <t>122° 14.177'E</t>
  </si>
  <si>
    <t>122° 13.245'E</t>
  </si>
  <si>
    <t>122° 12.960'E</t>
  </si>
  <si>
    <t>122° 12.636'E</t>
  </si>
  <si>
    <t>122° 11.947'E</t>
  </si>
  <si>
    <t>122° 11.055'E</t>
  </si>
  <si>
    <t>122° 08.742'E</t>
  </si>
  <si>
    <t>122° 08.441'E</t>
  </si>
  <si>
    <t>122° 08.373'E</t>
  </si>
  <si>
    <t>122° 07.682'E</t>
  </si>
  <si>
    <t>122° 07.350'E</t>
  </si>
  <si>
    <t>122° 07.189'E</t>
  </si>
  <si>
    <t>122° 06.890'E</t>
  </si>
  <si>
    <t>122° 06.757'E</t>
  </si>
  <si>
    <t>122° 06.602'E</t>
  </si>
  <si>
    <t>122° 06.476'E</t>
  </si>
  <si>
    <t>122° 06.331'E</t>
  </si>
  <si>
    <t>122° 06.117'E</t>
  </si>
  <si>
    <t>122° 06.293'E</t>
  </si>
  <si>
    <t>122° 06.409'E</t>
  </si>
  <si>
    <t>122° 06.46'E</t>
  </si>
  <si>
    <t>122° 06.22'E</t>
  </si>
  <si>
    <t>122° 07.97'E</t>
  </si>
  <si>
    <t>122° 06.10'E</t>
  </si>
  <si>
    <t>122° 08.48'E</t>
  </si>
  <si>
    <t>122° 08.867'E</t>
  </si>
  <si>
    <t>122° 08.989'E</t>
  </si>
  <si>
    <t>122° 09.026'E</t>
  </si>
  <si>
    <t>122° 09.466'E</t>
  </si>
  <si>
    <t>122° 46.184'E</t>
  </si>
  <si>
    <t>123° 30.247'E</t>
  </si>
  <si>
    <t>16° 45.225'S</t>
  </si>
  <si>
    <t>17° 01.307'S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</si>
</sst>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0" fillId="0" borderId="0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7" fontId="0" fillId="3" borderId="0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4"/>
  <sheetViews>
    <sheetView tabSelected="1" topLeftCell="L172" workbookViewId="0">
      <selection activeCell="AB172" sqref="AB172:AB224"/>
    </sheetView>
  </sheetViews>
  <sheetFormatPr baseColWidth="10" defaultColWidth="8.83203125" defaultRowHeight="14" x14ac:dyDescent="0"/>
  <cols>
    <col min="1" max="1" width="10.33203125" style="1" customWidth="1"/>
    <col min="2" max="2" width="10.6640625" style="16" bestFit="1" customWidth="1"/>
    <col min="3" max="3" width="10.83203125" style="13" bestFit="1" customWidth="1"/>
    <col min="4" max="4" width="8.83203125" style="14"/>
    <col min="5" max="5" width="8.83203125" style="15"/>
    <col min="6" max="6" width="13.6640625" style="15" bestFit="1" customWidth="1"/>
    <col min="7" max="7" width="11" style="16" bestFit="1" customWidth="1"/>
    <col min="8" max="8" width="12.1640625" style="14" bestFit="1" customWidth="1"/>
    <col min="9" max="10" width="12.1640625" style="13" customWidth="1"/>
    <col min="11" max="11" width="16.5" style="16" bestFit="1" customWidth="1"/>
    <col min="12" max="12" width="11.33203125" style="13" bestFit="1" customWidth="1"/>
    <col min="13" max="13" width="8.83203125" style="13"/>
    <col min="14" max="14" width="11.5" style="13" customWidth="1"/>
    <col min="15" max="15" width="8.83203125" style="13"/>
    <col min="16" max="16" width="11.5" style="13" customWidth="1"/>
    <col min="17" max="17" width="2.1640625" style="18" bestFit="1" customWidth="1"/>
    <col min="18" max="18" width="2.6640625" style="18" bestFit="1" customWidth="1"/>
    <col min="19" max="19" width="2.83203125" style="18" bestFit="1" customWidth="1"/>
    <col min="20" max="20" width="3.1640625" style="18" bestFit="1" customWidth="1"/>
    <col min="21" max="21" width="2" style="18" bestFit="1" customWidth="1"/>
    <col min="22" max="22" width="3" style="18" bestFit="1" customWidth="1"/>
    <col min="23" max="23" width="3.1640625" style="18" bestFit="1" customWidth="1"/>
    <col min="24" max="24" width="3.33203125" style="18" bestFit="1" customWidth="1"/>
    <col min="25" max="25" width="3.5" style="18" bestFit="1" customWidth="1"/>
    <col min="26" max="26" width="3.33203125" style="18" bestFit="1" customWidth="1"/>
    <col min="27" max="27" width="3.33203125" style="18" customWidth="1"/>
    <col min="28" max="28" width="6.1640625" style="18" bestFit="1" customWidth="1"/>
    <col min="29" max="29" width="5.5" style="20" bestFit="1" customWidth="1"/>
    <col min="30" max="30" width="14.5" style="13" customWidth="1"/>
    <col min="31" max="31" width="8.83203125" style="13"/>
    <col min="32" max="32" width="9.5" style="14" customWidth="1"/>
    <col min="33" max="33" width="25" style="16" bestFit="1" customWidth="1"/>
    <col min="34" max="34" width="8.83203125" style="13"/>
    <col min="35" max="35" width="11.1640625" style="13" bestFit="1" customWidth="1"/>
    <col min="36" max="36" width="14.5" style="14" bestFit="1" customWidth="1"/>
    <col min="37" max="37" width="44.5" style="15" customWidth="1"/>
    <col min="38" max="16384" width="8.83203125" style="1"/>
  </cols>
  <sheetData>
    <row r="1" spans="1:37">
      <c r="B1" s="31" t="s">
        <v>0</v>
      </c>
      <c r="C1" s="32"/>
      <c r="D1" s="33"/>
      <c r="E1" s="3" t="s">
        <v>1</v>
      </c>
      <c r="F1" s="3" t="s">
        <v>2</v>
      </c>
      <c r="G1" s="8"/>
      <c r="H1" s="9"/>
      <c r="I1" s="10"/>
      <c r="J1" s="10"/>
      <c r="K1" s="8"/>
      <c r="L1" s="10"/>
      <c r="M1" s="10"/>
      <c r="N1" s="10"/>
      <c r="O1" s="10"/>
      <c r="P1" s="10"/>
      <c r="Q1" s="34" t="s">
        <v>27</v>
      </c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10"/>
      <c r="AE1" s="10"/>
      <c r="AF1" s="9"/>
      <c r="AG1" s="8"/>
      <c r="AH1" s="10"/>
      <c r="AI1" s="10"/>
      <c r="AJ1" s="9"/>
      <c r="AK1" s="11"/>
    </row>
    <row r="2" spans="1:37" s="2" customFormat="1" ht="56">
      <c r="A2" s="2" t="s">
        <v>22</v>
      </c>
      <c r="B2" s="4" t="s">
        <v>3</v>
      </c>
      <c r="C2" s="5" t="s">
        <v>4</v>
      </c>
      <c r="D2" s="6" t="s">
        <v>5</v>
      </c>
      <c r="E2" s="7" t="s">
        <v>6</v>
      </c>
      <c r="F2" s="7" t="s">
        <v>7</v>
      </c>
      <c r="G2" s="4" t="s">
        <v>8</v>
      </c>
      <c r="H2" s="6" t="s">
        <v>9</v>
      </c>
      <c r="I2" s="5" t="s">
        <v>23</v>
      </c>
      <c r="J2" s="5" t="s">
        <v>24</v>
      </c>
      <c r="K2" s="4" t="s">
        <v>10</v>
      </c>
      <c r="L2" s="5" t="s">
        <v>11</v>
      </c>
      <c r="M2" s="5" t="s">
        <v>12</v>
      </c>
      <c r="N2" s="5" t="s">
        <v>11</v>
      </c>
      <c r="O2" s="5" t="s">
        <v>13</v>
      </c>
      <c r="P2" s="5" t="s">
        <v>11</v>
      </c>
      <c r="Q2" s="17" t="s">
        <v>28</v>
      </c>
      <c r="R2" s="17" t="s">
        <v>29</v>
      </c>
      <c r="S2" s="17" t="s">
        <v>30</v>
      </c>
      <c r="T2" s="17" t="s">
        <v>31</v>
      </c>
      <c r="U2" s="17" t="s">
        <v>32</v>
      </c>
      <c r="V2" s="17" t="s">
        <v>33</v>
      </c>
      <c r="W2" s="17" t="s">
        <v>34</v>
      </c>
      <c r="X2" s="17" t="s">
        <v>35</v>
      </c>
      <c r="Y2" s="17" t="s">
        <v>36</v>
      </c>
      <c r="Z2" s="17" t="s">
        <v>37</v>
      </c>
      <c r="AA2" s="17" t="s">
        <v>26</v>
      </c>
      <c r="AB2" s="17" t="s">
        <v>38</v>
      </c>
      <c r="AC2" s="19" t="s">
        <v>39</v>
      </c>
      <c r="AD2" s="5" t="s">
        <v>14</v>
      </c>
      <c r="AE2" s="5" t="s">
        <v>15</v>
      </c>
      <c r="AF2" s="6" t="s">
        <v>16</v>
      </c>
      <c r="AG2" s="4" t="s">
        <v>17</v>
      </c>
      <c r="AH2" s="5" t="s">
        <v>18</v>
      </c>
      <c r="AI2" s="5" t="s">
        <v>19</v>
      </c>
      <c r="AJ2" s="6" t="s">
        <v>20</v>
      </c>
      <c r="AK2" s="7" t="s">
        <v>21</v>
      </c>
    </row>
    <row r="3" spans="1:37">
      <c r="A3" s="1">
        <v>1</v>
      </c>
      <c r="B3" s="12" t="s">
        <v>40</v>
      </c>
      <c r="C3" s="13" t="s">
        <v>41</v>
      </c>
      <c r="D3" s="14">
        <v>2009</v>
      </c>
      <c r="E3" s="21">
        <v>13.45</v>
      </c>
      <c r="F3" s="15">
        <v>1</v>
      </c>
      <c r="G3" s="16" t="s">
        <v>44</v>
      </c>
      <c r="I3" s="13" t="s">
        <v>25</v>
      </c>
      <c r="J3" s="13">
        <v>0</v>
      </c>
      <c r="K3" s="16">
        <v>1</v>
      </c>
      <c r="L3" s="13">
        <f>K3/F3</f>
        <v>1</v>
      </c>
      <c r="M3" s="13">
        <v>0</v>
      </c>
      <c r="N3" s="13">
        <f>M3/F3</f>
        <v>0</v>
      </c>
      <c r="O3" s="13">
        <f>K3+M3</f>
        <v>1</v>
      </c>
      <c r="P3" s="13">
        <f>O3/F3</f>
        <v>1</v>
      </c>
      <c r="Q3" s="18">
        <v>1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20">
        <f>Q3+R3+S3+T3+U3+V3+W3+X3+Y3+Z3+AB3+AA3</f>
        <v>1</v>
      </c>
      <c r="AE3" s="13">
        <v>500</v>
      </c>
      <c r="AG3" s="16" t="s">
        <v>45</v>
      </c>
      <c r="AI3" s="13" t="s">
        <v>42</v>
      </c>
      <c r="AJ3" s="14" t="s">
        <v>43</v>
      </c>
      <c r="AK3" s="15" t="s">
        <v>53</v>
      </c>
    </row>
    <row r="4" spans="1:37">
      <c r="A4" s="1">
        <v>2</v>
      </c>
      <c r="B4" s="16" t="s">
        <v>40</v>
      </c>
      <c r="C4" s="13" t="s">
        <v>41</v>
      </c>
      <c r="D4" s="14">
        <v>2009</v>
      </c>
      <c r="E4" s="21">
        <v>13.47</v>
      </c>
      <c r="F4" s="15">
        <v>1</v>
      </c>
      <c r="G4" s="16" t="s">
        <v>44</v>
      </c>
      <c r="I4" s="13" t="s">
        <v>25</v>
      </c>
      <c r="J4" s="13">
        <v>0</v>
      </c>
      <c r="K4" s="16">
        <v>1</v>
      </c>
      <c r="L4" s="13">
        <f t="shared" ref="L4:L67" si="0">K4/F4</f>
        <v>1</v>
      </c>
      <c r="M4" s="13">
        <v>0</v>
      </c>
      <c r="N4" s="13">
        <f t="shared" ref="N4:N67" si="1">M4/F4</f>
        <v>0</v>
      </c>
      <c r="O4" s="13">
        <f t="shared" ref="O4:O67" si="2">K4+M4</f>
        <v>1</v>
      </c>
      <c r="P4" s="13">
        <f t="shared" ref="P4:P67" si="3">O4/F4</f>
        <v>1</v>
      </c>
      <c r="Q4" s="18">
        <v>0</v>
      </c>
      <c r="R4" s="18">
        <v>1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20">
        <f t="shared" ref="AC4:AC67" si="4">Q4+R4+S4+T4+U4+V4+W4+X4+Y4+Z4+AB4+AA4</f>
        <v>1</v>
      </c>
      <c r="AE4" s="13">
        <v>500</v>
      </c>
      <c r="AG4" s="16" t="s">
        <v>45</v>
      </c>
      <c r="AI4" s="13" t="s">
        <v>42</v>
      </c>
      <c r="AJ4" s="14" t="s">
        <v>43</v>
      </c>
      <c r="AK4" s="15" t="s">
        <v>53</v>
      </c>
    </row>
    <row r="5" spans="1:37">
      <c r="A5" s="1">
        <v>3</v>
      </c>
      <c r="B5" s="12" t="s">
        <v>40</v>
      </c>
      <c r="C5" s="13" t="s">
        <v>41</v>
      </c>
      <c r="D5" s="14">
        <v>2009</v>
      </c>
      <c r="E5" s="21">
        <v>13.53</v>
      </c>
      <c r="F5" s="15">
        <v>1</v>
      </c>
      <c r="G5" s="16" t="s">
        <v>47</v>
      </c>
      <c r="I5" s="13" t="s">
        <v>25</v>
      </c>
      <c r="J5" s="13">
        <v>0</v>
      </c>
      <c r="K5" s="16">
        <v>2</v>
      </c>
      <c r="L5" s="13">
        <f t="shared" si="0"/>
        <v>2</v>
      </c>
      <c r="M5" s="13">
        <v>0</v>
      </c>
      <c r="N5" s="13">
        <f t="shared" si="1"/>
        <v>0</v>
      </c>
      <c r="O5" s="13">
        <f t="shared" si="2"/>
        <v>2</v>
      </c>
      <c r="P5" s="13">
        <f t="shared" si="3"/>
        <v>2</v>
      </c>
      <c r="Q5" s="18">
        <v>0</v>
      </c>
      <c r="R5" s="18">
        <v>1</v>
      </c>
      <c r="S5" s="18">
        <v>0</v>
      </c>
      <c r="T5" s="18">
        <v>1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20">
        <f t="shared" si="4"/>
        <v>2</v>
      </c>
      <c r="AE5" s="13">
        <v>700</v>
      </c>
      <c r="AG5" s="16" t="s">
        <v>45</v>
      </c>
      <c r="AI5" s="13" t="s">
        <v>42</v>
      </c>
      <c r="AJ5" s="14" t="s">
        <v>43</v>
      </c>
      <c r="AK5" s="15" t="s">
        <v>53</v>
      </c>
    </row>
    <row r="6" spans="1:37">
      <c r="A6" s="1">
        <v>4</v>
      </c>
      <c r="B6" s="16" t="s">
        <v>40</v>
      </c>
      <c r="C6" s="13" t="s">
        <v>41</v>
      </c>
      <c r="D6" s="14">
        <v>2009</v>
      </c>
      <c r="E6" s="21">
        <v>14.01</v>
      </c>
      <c r="F6" s="15">
        <v>1</v>
      </c>
      <c r="G6" s="16" t="s">
        <v>47</v>
      </c>
      <c r="I6" s="13" t="s">
        <v>25</v>
      </c>
      <c r="J6" s="13">
        <v>0</v>
      </c>
      <c r="K6" s="16">
        <v>1</v>
      </c>
      <c r="L6" s="13">
        <f t="shared" si="0"/>
        <v>1</v>
      </c>
      <c r="M6" s="13">
        <v>0</v>
      </c>
      <c r="N6" s="13">
        <f t="shared" si="1"/>
        <v>0</v>
      </c>
      <c r="O6" s="13">
        <f t="shared" si="2"/>
        <v>1</v>
      </c>
      <c r="P6" s="13">
        <f t="shared" si="3"/>
        <v>1</v>
      </c>
      <c r="Q6" s="18">
        <v>1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20">
        <f t="shared" si="4"/>
        <v>1</v>
      </c>
      <c r="AE6" s="13">
        <v>600</v>
      </c>
      <c r="AG6" s="16" t="s">
        <v>45</v>
      </c>
      <c r="AI6" s="13" t="s">
        <v>42</v>
      </c>
      <c r="AJ6" s="14" t="s">
        <v>43</v>
      </c>
      <c r="AK6" s="15" t="s">
        <v>53</v>
      </c>
    </row>
    <row r="7" spans="1:37">
      <c r="A7" s="1">
        <v>5</v>
      </c>
      <c r="B7" s="12" t="s">
        <v>40</v>
      </c>
      <c r="C7" s="13" t="s">
        <v>41</v>
      </c>
      <c r="D7" s="14">
        <v>2009</v>
      </c>
      <c r="E7" s="21">
        <v>14.05</v>
      </c>
      <c r="F7" s="15">
        <v>1</v>
      </c>
      <c r="G7" s="16" t="s">
        <v>48</v>
      </c>
      <c r="I7" s="13" t="s">
        <v>25</v>
      </c>
      <c r="J7" s="13">
        <v>0</v>
      </c>
      <c r="K7" s="16">
        <v>1</v>
      </c>
      <c r="L7" s="13">
        <f t="shared" si="0"/>
        <v>1</v>
      </c>
      <c r="M7" s="13">
        <v>1</v>
      </c>
      <c r="N7" s="13">
        <f t="shared" si="1"/>
        <v>1</v>
      </c>
      <c r="O7" s="13">
        <f t="shared" si="2"/>
        <v>2</v>
      </c>
      <c r="P7" s="13">
        <f t="shared" si="3"/>
        <v>2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1</v>
      </c>
      <c r="AB7" s="18">
        <v>0</v>
      </c>
      <c r="AC7" s="20">
        <f t="shared" si="4"/>
        <v>1</v>
      </c>
      <c r="AD7" s="13" t="s">
        <v>46</v>
      </c>
      <c r="AE7" s="13">
        <v>50</v>
      </c>
      <c r="AG7" s="16" t="s">
        <v>45</v>
      </c>
      <c r="AI7" s="13" t="s">
        <v>42</v>
      </c>
      <c r="AJ7" s="14" t="s">
        <v>43</v>
      </c>
      <c r="AK7" s="15" t="s">
        <v>54</v>
      </c>
    </row>
    <row r="8" spans="1:37">
      <c r="A8" s="1">
        <v>6</v>
      </c>
      <c r="B8" s="16" t="s">
        <v>40</v>
      </c>
      <c r="C8" s="13" t="s">
        <v>41</v>
      </c>
      <c r="D8" s="14">
        <v>2009</v>
      </c>
      <c r="E8" s="21">
        <v>14.06</v>
      </c>
      <c r="F8" s="15">
        <v>1</v>
      </c>
      <c r="G8" s="16" t="s">
        <v>48</v>
      </c>
      <c r="I8" s="13" t="s">
        <v>25</v>
      </c>
      <c r="J8" s="13">
        <v>0</v>
      </c>
      <c r="K8" s="16">
        <v>2</v>
      </c>
      <c r="L8" s="13">
        <f t="shared" si="0"/>
        <v>2</v>
      </c>
      <c r="M8" s="13">
        <v>0</v>
      </c>
      <c r="N8" s="13">
        <f t="shared" si="1"/>
        <v>0</v>
      </c>
      <c r="O8" s="13">
        <f t="shared" si="2"/>
        <v>2</v>
      </c>
      <c r="P8" s="13">
        <f t="shared" si="3"/>
        <v>2</v>
      </c>
      <c r="Q8" s="18">
        <v>0</v>
      </c>
      <c r="R8" s="18">
        <v>1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20">
        <f t="shared" si="4"/>
        <v>1</v>
      </c>
      <c r="AD8" s="13" t="s">
        <v>46</v>
      </c>
      <c r="AE8" s="13">
        <v>70</v>
      </c>
      <c r="AG8" s="16" t="s">
        <v>45</v>
      </c>
      <c r="AI8" s="13" t="s">
        <v>42</v>
      </c>
      <c r="AJ8" s="14" t="s">
        <v>43</v>
      </c>
      <c r="AK8" s="15" t="s">
        <v>53</v>
      </c>
    </row>
    <row r="9" spans="1:37">
      <c r="A9" s="1">
        <v>7</v>
      </c>
      <c r="B9" s="12" t="s">
        <v>40</v>
      </c>
      <c r="C9" s="13" t="s">
        <v>41</v>
      </c>
      <c r="D9" s="14">
        <v>2009</v>
      </c>
      <c r="E9" s="21">
        <v>14.1</v>
      </c>
      <c r="F9" s="15">
        <v>1</v>
      </c>
      <c r="G9" s="16" t="s">
        <v>48</v>
      </c>
      <c r="I9" s="13" t="s">
        <v>25</v>
      </c>
      <c r="J9" s="13">
        <v>0</v>
      </c>
      <c r="K9" s="16">
        <v>1</v>
      </c>
      <c r="L9" s="13">
        <f t="shared" si="0"/>
        <v>1</v>
      </c>
      <c r="M9" s="13">
        <v>0</v>
      </c>
      <c r="N9" s="13">
        <f t="shared" si="1"/>
        <v>0</v>
      </c>
      <c r="O9" s="13">
        <f t="shared" si="2"/>
        <v>1</v>
      </c>
      <c r="P9" s="13">
        <f t="shared" si="3"/>
        <v>1</v>
      </c>
      <c r="Q9" s="18">
        <v>1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20">
        <f t="shared" si="4"/>
        <v>1</v>
      </c>
      <c r="AD9" s="13" t="s">
        <v>52</v>
      </c>
      <c r="AE9" s="13">
        <v>1200</v>
      </c>
      <c r="AG9" s="16" t="s">
        <v>45</v>
      </c>
      <c r="AI9" s="13" t="s">
        <v>42</v>
      </c>
      <c r="AJ9" s="14" t="s">
        <v>43</v>
      </c>
      <c r="AK9" s="15" t="s">
        <v>55</v>
      </c>
    </row>
    <row r="10" spans="1:37">
      <c r="A10" s="1">
        <v>8</v>
      </c>
      <c r="B10" s="16" t="s">
        <v>40</v>
      </c>
      <c r="C10" s="13" t="s">
        <v>41</v>
      </c>
      <c r="D10" s="14">
        <v>2009</v>
      </c>
      <c r="E10" s="21">
        <v>14.14</v>
      </c>
      <c r="F10" s="15">
        <v>1</v>
      </c>
      <c r="G10" s="16" t="s">
        <v>49</v>
      </c>
      <c r="I10" s="13" t="s">
        <v>25</v>
      </c>
      <c r="J10" s="13">
        <v>0</v>
      </c>
      <c r="K10" s="16">
        <v>1</v>
      </c>
      <c r="L10" s="13">
        <f t="shared" si="0"/>
        <v>1</v>
      </c>
      <c r="M10" s="13">
        <v>0</v>
      </c>
      <c r="N10" s="13">
        <f t="shared" si="1"/>
        <v>0</v>
      </c>
      <c r="O10" s="13">
        <f t="shared" si="2"/>
        <v>1</v>
      </c>
      <c r="P10" s="13">
        <f t="shared" si="3"/>
        <v>1</v>
      </c>
      <c r="Q10" s="18">
        <v>1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20">
        <f t="shared" si="4"/>
        <v>1</v>
      </c>
      <c r="AD10" s="13" t="s">
        <v>26</v>
      </c>
      <c r="AE10" s="13">
        <v>3000</v>
      </c>
      <c r="AG10" s="16" t="s">
        <v>45</v>
      </c>
      <c r="AI10" s="13" t="s">
        <v>42</v>
      </c>
      <c r="AJ10" s="14" t="s">
        <v>43</v>
      </c>
      <c r="AK10" s="15" t="s">
        <v>53</v>
      </c>
    </row>
    <row r="11" spans="1:37">
      <c r="A11" s="1">
        <v>9</v>
      </c>
      <c r="B11" s="12" t="s">
        <v>40</v>
      </c>
      <c r="C11" s="13" t="s">
        <v>41</v>
      </c>
      <c r="D11" s="14">
        <v>2009</v>
      </c>
      <c r="E11" s="21">
        <v>14.2</v>
      </c>
      <c r="F11" s="15">
        <v>1</v>
      </c>
      <c r="G11" s="16" t="s">
        <v>50</v>
      </c>
      <c r="I11" s="13" t="s">
        <v>25</v>
      </c>
      <c r="J11" s="13">
        <v>0</v>
      </c>
      <c r="K11" s="16">
        <v>1</v>
      </c>
      <c r="L11" s="13">
        <f t="shared" si="0"/>
        <v>1</v>
      </c>
      <c r="M11" s="13">
        <v>0</v>
      </c>
      <c r="N11" s="13">
        <f t="shared" si="1"/>
        <v>0</v>
      </c>
      <c r="O11" s="13">
        <f t="shared" si="2"/>
        <v>1</v>
      </c>
      <c r="P11" s="13">
        <f t="shared" si="3"/>
        <v>1</v>
      </c>
      <c r="Q11" s="18">
        <v>0</v>
      </c>
      <c r="R11" s="18">
        <v>1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20">
        <f t="shared" si="4"/>
        <v>1</v>
      </c>
      <c r="AD11" s="13" t="s">
        <v>51</v>
      </c>
      <c r="AE11" s="13">
        <v>400</v>
      </c>
      <c r="AG11" s="16" t="s">
        <v>45</v>
      </c>
      <c r="AI11" s="13" t="s">
        <v>42</v>
      </c>
      <c r="AJ11" s="14" t="s">
        <v>43</v>
      </c>
      <c r="AK11" s="15" t="s">
        <v>53</v>
      </c>
    </row>
    <row r="12" spans="1:37">
      <c r="A12" s="1">
        <v>10</v>
      </c>
      <c r="B12" s="16" t="s">
        <v>40</v>
      </c>
      <c r="C12" s="13" t="s">
        <v>41</v>
      </c>
      <c r="D12" s="14">
        <v>2009</v>
      </c>
      <c r="E12" s="21">
        <v>14.24</v>
      </c>
      <c r="F12" s="15">
        <v>1</v>
      </c>
      <c r="G12" s="16" t="s">
        <v>50</v>
      </c>
      <c r="I12" s="13" t="s">
        <v>25</v>
      </c>
      <c r="J12" s="13">
        <v>0</v>
      </c>
      <c r="K12" s="16">
        <v>1</v>
      </c>
      <c r="L12" s="13">
        <f t="shared" si="0"/>
        <v>1</v>
      </c>
      <c r="M12" s="13">
        <v>0</v>
      </c>
      <c r="N12" s="13">
        <f t="shared" si="1"/>
        <v>0</v>
      </c>
      <c r="O12" s="13">
        <f t="shared" si="2"/>
        <v>1</v>
      </c>
      <c r="P12" s="13">
        <f t="shared" si="3"/>
        <v>1</v>
      </c>
      <c r="Q12" s="18">
        <v>0</v>
      </c>
      <c r="R12" s="18">
        <v>1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20">
        <f t="shared" si="4"/>
        <v>1</v>
      </c>
      <c r="AD12" s="13" t="s">
        <v>26</v>
      </c>
      <c r="AE12" s="13">
        <v>60</v>
      </c>
      <c r="AG12" s="16" t="s">
        <v>45</v>
      </c>
      <c r="AI12" s="13" t="s">
        <v>42</v>
      </c>
      <c r="AJ12" s="14" t="s">
        <v>43</v>
      </c>
      <c r="AK12" s="15" t="s">
        <v>53</v>
      </c>
    </row>
    <row r="13" spans="1:37">
      <c r="A13" s="1">
        <v>11</v>
      </c>
      <c r="B13" s="12" t="s">
        <v>40</v>
      </c>
      <c r="C13" s="13" t="s">
        <v>41</v>
      </c>
      <c r="D13" s="14">
        <v>2009</v>
      </c>
      <c r="E13" s="21">
        <v>14.28</v>
      </c>
      <c r="F13" s="15">
        <v>1</v>
      </c>
      <c r="G13" s="16" t="s">
        <v>50</v>
      </c>
      <c r="I13" s="13" t="s">
        <v>25</v>
      </c>
      <c r="J13" s="13">
        <v>0</v>
      </c>
      <c r="K13" s="16">
        <v>2</v>
      </c>
      <c r="L13" s="13">
        <f t="shared" si="0"/>
        <v>2</v>
      </c>
      <c r="M13" s="13">
        <v>0</v>
      </c>
      <c r="N13" s="13">
        <f t="shared" si="1"/>
        <v>0</v>
      </c>
      <c r="O13" s="13">
        <f t="shared" si="2"/>
        <v>2</v>
      </c>
      <c r="P13" s="13">
        <f t="shared" si="3"/>
        <v>2</v>
      </c>
      <c r="Q13" s="18">
        <v>0</v>
      </c>
      <c r="R13" s="18">
        <v>2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20">
        <f t="shared" si="4"/>
        <v>2</v>
      </c>
      <c r="AE13" s="13">
        <v>300</v>
      </c>
      <c r="AG13" s="16" t="s">
        <v>45</v>
      </c>
      <c r="AI13" s="13" t="s">
        <v>42</v>
      </c>
      <c r="AJ13" s="14" t="s">
        <v>56</v>
      </c>
      <c r="AK13" s="15" t="s">
        <v>60</v>
      </c>
    </row>
    <row r="14" spans="1:37">
      <c r="A14" s="1">
        <v>12</v>
      </c>
      <c r="B14" s="16" t="s">
        <v>40</v>
      </c>
      <c r="C14" s="13" t="s">
        <v>41</v>
      </c>
      <c r="D14" s="14">
        <v>2009</v>
      </c>
      <c r="E14" s="21">
        <v>14.44</v>
      </c>
      <c r="F14" s="15">
        <v>1</v>
      </c>
      <c r="G14" s="16" t="s">
        <v>57</v>
      </c>
      <c r="I14" s="13" t="s">
        <v>25</v>
      </c>
      <c r="J14" s="13">
        <v>0</v>
      </c>
      <c r="K14" s="16">
        <v>3</v>
      </c>
      <c r="L14" s="13">
        <f t="shared" si="0"/>
        <v>3</v>
      </c>
      <c r="M14" s="13">
        <v>0</v>
      </c>
      <c r="N14" s="13">
        <f t="shared" si="1"/>
        <v>0</v>
      </c>
      <c r="O14" s="13">
        <f t="shared" si="2"/>
        <v>3</v>
      </c>
      <c r="P14" s="13">
        <f t="shared" si="3"/>
        <v>3</v>
      </c>
      <c r="Q14" s="18">
        <v>0</v>
      </c>
      <c r="R14" s="18">
        <v>3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20">
        <f t="shared" si="4"/>
        <v>3</v>
      </c>
      <c r="AE14" s="13">
        <v>650</v>
      </c>
      <c r="AG14" s="16" t="s">
        <v>45</v>
      </c>
      <c r="AI14" s="13" t="s">
        <v>42</v>
      </c>
      <c r="AJ14" s="14" t="s">
        <v>56</v>
      </c>
      <c r="AK14" s="15" t="s">
        <v>58</v>
      </c>
    </row>
    <row r="15" spans="1:37">
      <c r="A15" s="1">
        <v>13</v>
      </c>
      <c r="B15" s="12" t="s">
        <v>40</v>
      </c>
      <c r="C15" s="13" t="s">
        <v>41</v>
      </c>
      <c r="D15" s="14">
        <v>2009</v>
      </c>
      <c r="E15" s="21">
        <v>14.53</v>
      </c>
      <c r="F15" s="15">
        <v>1</v>
      </c>
      <c r="G15" s="16" t="s">
        <v>304</v>
      </c>
      <c r="H15" s="14" t="s">
        <v>510</v>
      </c>
      <c r="I15" s="13" t="s">
        <v>25</v>
      </c>
      <c r="J15" s="13">
        <v>0</v>
      </c>
      <c r="K15" s="16">
        <v>1</v>
      </c>
      <c r="L15" s="13">
        <f t="shared" si="0"/>
        <v>1</v>
      </c>
      <c r="M15" s="13">
        <v>0</v>
      </c>
      <c r="N15" s="13">
        <f t="shared" si="1"/>
        <v>0</v>
      </c>
      <c r="O15" s="13">
        <f t="shared" si="2"/>
        <v>1</v>
      </c>
      <c r="P15" s="13">
        <f t="shared" si="3"/>
        <v>1</v>
      </c>
      <c r="Q15" s="18">
        <v>0</v>
      </c>
      <c r="R15" s="18">
        <v>0</v>
      </c>
      <c r="S15" s="18">
        <v>0</v>
      </c>
      <c r="T15" s="18">
        <v>0</v>
      </c>
      <c r="U15" s="18">
        <v>1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20">
        <f t="shared" si="4"/>
        <v>1</v>
      </c>
      <c r="AE15" s="13">
        <v>50</v>
      </c>
      <c r="AG15" s="16" t="s">
        <v>45</v>
      </c>
      <c r="AI15" s="13" t="s">
        <v>42</v>
      </c>
      <c r="AJ15" s="14" t="s">
        <v>56</v>
      </c>
      <c r="AK15" s="15" t="s">
        <v>59</v>
      </c>
    </row>
    <row r="16" spans="1:37">
      <c r="A16" s="1">
        <v>14</v>
      </c>
      <c r="B16" s="16" t="s">
        <v>40</v>
      </c>
      <c r="C16" s="13" t="s">
        <v>41</v>
      </c>
      <c r="D16" s="14">
        <v>2009</v>
      </c>
      <c r="E16" s="21">
        <v>15.14</v>
      </c>
      <c r="F16" s="15">
        <v>1</v>
      </c>
      <c r="G16" s="16" t="s">
        <v>305</v>
      </c>
      <c r="H16" s="14" t="s">
        <v>511</v>
      </c>
      <c r="I16" s="13" t="s">
        <v>25</v>
      </c>
      <c r="J16" s="13">
        <v>0</v>
      </c>
      <c r="K16" s="16">
        <v>1</v>
      </c>
      <c r="L16" s="13">
        <f t="shared" si="0"/>
        <v>1</v>
      </c>
      <c r="M16" s="13">
        <v>0</v>
      </c>
      <c r="N16" s="13">
        <f t="shared" si="1"/>
        <v>0</v>
      </c>
      <c r="O16" s="13">
        <f t="shared" si="2"/>
        <v>1</v>
      </c>
      <c r="P16" s="13">
        <f t="shared" si="3"/>
        <v>1</v>
      </c>
      <c r="Q16" s="18">
        <v>0</v>
      </c>
      <c r="R16" s="18">
        <v>0</v>
      </c>
      <c r="S16" s="18">
        <v>0</v>
      </c>
      <c r="T16" s="18">
        <v>0</v>
      </c>
      <c r="U16" s="18">
        <v>1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20">
        <f t="shared" si="4"/>
        <v>1</v>
      </c>
      <c r="AE16" s="13">
        <v>20</v>
      </c>
      <c r="AG16" s="16" t="s">
        <v>45</v>
      </c>
      <c r="AI16" s="13" t="s">
        <v>42</v>
      </c>
      <c r="AJ16" s="14" t="s">
        <v>56</v>
      </c>
      <c r="AK16" s="15" t="s">
        <v>61</v>
      </c>
    </row>
    <row r="17" spans="1:37">
      <c r="A17" s="1">
        <v>15</v>
      </c>
      <c r="B17" s="12" t="s">
        <v>40</v>
      </c>
      <c r="C17" s="13" t="s">
        <v>41</v>
      </c>
      <c r="D17" s="14">
        <v>2009</v>
      </c>
      <c r="E17" s="21">
        <v>15.24</v>
      </c>
      <c r="F17" s="15">
        <v>1</v>
      </c>
      <c r="G17" s="16" t="s">
        <v>306</v>
      </c>
      <c r="H17" s="14" t="s">
        <v>512</v>
      </c>
      <c r="I17" s="13" t="s">
        <v>25</v>
      </c>
      <c r="J17" s="13">
        <v>0</v>
      </c>
      <c r="K17" s="16">
        <v>1</v>
      </c>
      <c r="L17" s="13">
        <f t="shared" si="0"/>
        <v>1</v>
      </c>
      <c r="M17" s="13">
        <v>0</v>
      </c>
      <c r="N17" s="13">
        <f t="shared" si="1"/>
        <v>0</v>
      </c>
      <c r="O17" s="13">
        <f t="shared" si="2"/>
        <v>1</v>
      </c>
      <c r="P17" s="13">
        <f t="shared" si="3"/>
        <v>1</v>
      </c>
      <c r="Q17" s="18">
        <v>0</v>
      </c>
      <c r="R17" s="18">
        <v>1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20">
        <f t="shared" si="4"/>
        <v>1</v>
      </c>
      <c r="AE17" s="13">
        <v>85</v>
      </c>
      <c r="AG17" s="16" t="s">
        <v>45</v>
      </c>
      <c r="AI17" s="13" t="s">
        <v>42</v>
      </c>
      <c r="AJ17" s="14" t="s">
        <v>56</v>
      </c>
      <c r="AK17" s="15" t="s">
        <v>63</v>
      </c>
    </row>
    <row r="18" spans="1:37">
      <c r="A18" s="1">
        <v>16</v>
      </c>
      <c r="B18" s="16" t="s">
        <v>40</v>
      </c>
      <c r="C18" s="13" t="s">
        <v>41</v>
      </c>
      <c r="D18" s="14">
        <v>2009</v>
      </c>
      <c r="E18" s="21">
        <v>15.27</v>
      </c>
      <c r="F18" s="15">
        <v>1</v>
      </c>
      <c r="G18" s="16" t="s">
        <v>307</v>
      </c>
      <c r="H18" s="14" t="s">
        <v>512</v>
      </c>
      <c r="I18" s="13" t="s">
        <v>25</v>
      </c>
      <c r="J18" s="13">
        <v>0</v>
      </c>
      <c r="K18" s="16">
        <v>1</v>
      </c>
      <c r="L18" s="13">
        <f t="shared" si="0"/>
        <v>1</v>
      </c>
      <c r="M18" s="13">
        <v>0</v>
      </c>
      <c r="N18" s="13">
        <f t="shared" si="1"/>
        <v>0</v>
      </c>
      <c r="O18" s="13">
        <f t="shared" si="2"/>
        <v>1</v>
      </c>
      <c r="P18" s="13">
        <f t="shared" si="3"/>
        <v>1</v>
      </c>
      <c r="Q18" s="18">
        <v>0</v>
      </c>
      <c r="R18" s="18">
        <v>1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20">
        <f t="shared" si="4"/>
        <v>1</v>
      </c>
      <c r="AE18" s="13">
        <v>70</v>
      </c>
      <c r="AG18" s="16" t="s">
        <v>45</v>
      </c>
      <c r="AI18" s="13" t="s">
        <v>42</v>
      </c>
      <c r="AJ18" s="14" t="s">
        <v>56</v>
      </c>
      <c r="AK18" s="15" t="s">
        <v>62</v>
      </c>
    </row>
    <row r="19" spans="1:37">
      <c r="A19" s="1">
        <v>17</v>
      </c>
      <c r="B19" s="12" t="s">
        <v>40</v>
      </c>
      <c r="C19" s="13" t="s">
        <v>41</v>
      </c>
      <c r="D19" s="14">
        <v>2009</v>
      </c>
      <c r="E19" s="21">
        <v>15.32</v>
      </c>
      <c r="F19" s="15">
        <v>1</v>
      </c>
      <c r="G19" s="16" t="s">
        <v>308</v>
      </c>
      <c r="H19" s="14" t="s">
        <v>513</v>
      </c>
      <c r="I19" s="13" t="s">
        <v>25</v>
      </c>
      <c r="J19" s="13">
        <v>0</v>
      </c>
      <c r="K19" s="16">
        <v>1</v>
      </c>
      <c r="L19" s="13">
        <f t="shared" si="0"/>
        <v>1</v>
      </c>
      <c r="M19" s="13">
        <v>0</v>
      </c>
      <c r="N19" s="13">
        <f t="shared" si="1"/>
        <v>0</v>
      </c>
      <c r="O19" s="13">
        <f t="shared" si="2"/>
        <v>1</v>
      </c>
      <c r="P19" s="13">
        <f t="shared" si="3"/>
        <v>1</v>
      </c>
      <c r="Q19" s="18">
        <v>0</v>
      </c>
      <c r="R19" s="18">
        <v>1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20">
        <f t="shared" si="4"/>
        <v>1</v>
      </c>
      <c r="AE19" s="13">
        <v>350</v>
      </c>
      <c r="AG19" s="16" t="s">
        <v>45</v>
      </c>
      <c r="AI19" s="13" t="s">
        <v>42</v>
      </c>
      <c r="AJ19" s="14" t="s">
        <v>56</v>
      </c>
      <c r="AK19" s="15" t="s">
        <v>64</v>
      </c>
    </row>
    <row r="20" spans="1:37">
      <c r="A20" s="1">
        <v>18</v>
      </c>
      <c r="B20" s="16" t="s">
        <v>40</v>
      </c>
      <c r="C20" s="13" t="s">
        <v>41</v>
      </c>
      <c r="D20" s="14">
        <v>2009</v>
      </c>
      <c r="E20" s="21">
        <v>15.34</v>
      </c>
      <c r="F20" s="15">
        <v>1</v>
      </c>
      <c r="G20" s="16" t="s">
        <v>309</v>
      </c>
      <c r="H20" s="14" t="s">
        <v>514</v>
      </c>
      <c r="I20" s="13" t="s">
        <v>25</v>
      </c>
      <c r="J20" s="13">
        <v>0</v>
      </c>
      <c r="K20" s="16">
        <v>2</v>
      </c>
      <c r="L20" s="13">
        <f t="shared" si="0"/>
        <v>2</v>
      </c>
      <c r="M20" s="13">
        <v>1</v>
      </c>
      <c r="N20" s="13">
        <f t="shared" si="1"/>
        <v>1</v>
      </c>
      <c r="O20" s="13">
        <f t="shared" si="2"/>
        <v>3</v>
      </c>
      <c r="P20" s="13">
        <f t="shared" si="3"/>
        <v>3</v>
      </c>
      <c r="Q20" s="18">
        <v>0</v>
      </c>
      <c r="R20" s="18">
        <v>3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20">
        <f t="shared" si="4"/>
        <v>3</v>
      </c>
      <c r="AD20" s="13" t="s">
        <v>46</v>
      </c>
      <c r="AE20" s="13">
        <v>100</v>
      </c>
      <c r="AF20" s="14" t="s">
        <v>65</v>
      </c>
      <c r="AG20" s="16" t="s">
        <v>45</v>
      </c>
      <c r="AI20" s="13" t="s">
        <v>42</v>
      </c>
      <c r="AJ20" s="14" t="s">
        <v>56</v>
      </c>
      <c r="AK20" s="15" t="s">
        <v>66</v>
      </c>
    </row>
    <row r="21" spans="1:37">
      <c r="A21" s="1">
        <v>19</v>
      </c>
      <c r="B21" s="12" t="s">
        <v>40</v>
      </c>
      <c r="C21" s="13" t="s">
        <v>41</v>
      </c>
      <c r="D21" s="14">
        <v>2009</v>
      </c>
      <c r="E21" s="21">
        <v>15.41</v>
      </c>
      <c r="F21" s="15">
        <v>1</v>
      </c>
      <c r="G21" s="16" t="s">
        <v>310</v>
      </c>
      <c r="H21" s="14" t="s">
        <v>515</v>
      </c>
      <c r="I21" s="13" t="s">
        <v>25</v>
      </c>
      <c r="J21" s="13">
        <v>0</v>
      </c>
      <c r="K21" s="16">
        <v>2</v>
      </c>
      <c r="L21" s="13">
        <f t="shared" si="0"/>
        <v>2</v>
      </c>
      <c r="M21" s="13">
        <v>1</v>
      </c>
      <c r="N21" s="13">
        <f t="shared" si="1"/>
        <v>1</v>
      </c>
      <c r="O21" s="13">
        <f t="shared" si="2"/>
        <v>3</v>
      </c>
      <c r="P21" s="13">
        <f t="shared" si="3"/>
        <v>3</v>
      </c>
      <c r="Q21" s="18">
        <v>0</v>
      </c>
      <c r="R21" s="18">
        <v>3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20">
        <f t="shared" si="4"/>
        <v>3</v>
      </c>
      <c r="AD21" s="13" t="s">
        <v>52</v>
      </c>
      <c r="AE21" s="13">
        <v>150</v>
      </c>
      <c r="AF21" s="14" t="s">
        <v>65</v>
      </c>
      <c r="AG21" s="16" t="s">
        <v>45</v>
      </c>
      <c r="AI21" s="13" t="s">
        <v>42</v>
      </c>
      <c r="AJ21" s="14" t="s">
        <v>56</v>
      </c>
      <c r="AK21" s="15" t="s">
        <v>67</v>
      </c>
    </row>
    <row r="22" spans="1:37">
      <c r="A22" s="1">
        <v>20</v>
      </c>
      <c r="B22" s="16" t="s">
        <v>40</v>
      </c>
      <c r="C22" s="13" t="s">
        <v>41</v>
      </c>
      <c r="D22" s="14">
        <v>2009</v>
      </c>
      <c r="E22" s="21">
        <v>15.45</v>
      </c>
      <c r="F22" s="15">
        <v>1</v>
      </c>
      <c r="G22" s="16" t="s">
        <v>311</v>
      </c>
      <c r="H22" s="14" t="s">
        <v>516</v>
      </c>
      <c r="I22" s="13" t="s">
        <v>25</v>
      </c>
      <c r="J22" s="13">
        <v>0</v>
      </c>
      <c r="K22" s="16">
        <v>1</v>
      </c>
      <c r="L22" s="13">
        <f t="shared" si="0"/>
        <v>1</v>
      </c>
      <c r="M22" s="13">
        <v>0</v>
      </c>
      <c r="N22" s="13">
        <f t="shared" si="1"/>
        <v>0</v>
      </c>
      <c r="O22" s="13">
        <f t="shared" si="2"/>
        <v>1</v>
      </c>
      <c r="P22" s="13">
        <f t="shared" si="3"/>
        <v>1</v>
      </c>
      <c r="Q22" s="18">
        <v>0</v>
      </c>
      <c r="R22" s="18">
        <v>1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20">
        <f t="shared" si="4"/>
        <v>1</v>
      </c>
      <c r="AD22" s="13" t="s">
        <v>26</v>
      </c>
      <c r="AE22" s="13">
        <v>380</v>
      </c>
      <c r="AG22" s="16" t="s">
        <v>45</v>
      </c>
      <c r="AI22" s="13" t="s">
        <v>42</v>
      </c>
      <c r="AJ22" s="14" t="s">
        <v>56</v>
      </c>
      <c r="AK22" s="15" t="s">
        <v>69</v>
      </c>
    </row>
    <row r="23" spans="1:37">
      <c r="A23" s="1">
        <v>21</v>
      </c>
      <c r="B23" s="12" t="s">
        <v>40</v>
      </c>
      <c r="C23" s="13" t="s">
        <v>41</v>
      </c>
      <c r="D23" s="14">
        <v>2009</v>
      </c>
      <c r="E23" s="21">
        <v>15.45</v>
      </c>
      <c r="F23" s="15">
        <v>1</v>
      </c>
      <c r="G23" s="16" t="s">
        <v>312</v>
      </c>
      <c r="H23" s="14" t="s">
        <v>517</v>
      </c>
      <c r="I23" s="13" t="s">
        <v>25</v>
      </c>
      <c r="J23" s="13">
        <v>0</v>
      </c>
      <c r="K23" s="16">
        <v>2</v>
      </c>
      <c r="L23" s="13">
        <f t="shared" si="0"/>
        <v>2</v>
      </c>
      <c r="M23" s="13">
        <v>0</v>
      </c>
      <c r="N23" s="13">
        <f t="shared" si="1"/>
        <v>0</v>
      </c>
      <c r="O23" s="13">
        <f t="shared" si="2"/>
        <v>2</v>
      </c>
      <c r="P23" s="13">
        <f t="shared" si="3"/>
        <v>2</v>
      </c>
      <c r="Q23" s="18">
        <v>0</v>
      </c>
      <c r="R23" s="18">
        <v>1</v>
      </c>
      <c r="S23" s="18">
        <v>0</v>
      </c>
      <c r="T23" s="18">
        <v>0</v>
      </c>
      <c r="U23" s="18">
        <v>0</v>
      </c>
      <c r="V23" s="18">
        <v>1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20">
        <f t="shared" si="4"/>
        <v>2</v>
      </c>
      <c r="AD23" s="13" t="s">
        <v>68</v>
      </c>
      <c r="AE23" s="13">
        <v>270</v>
      </c>
      <c r="AG23" s="16" t="s">
        <v>45</v>
      </c>
      <c r="AI23" s="13" t="s">
        <v>42</v>
      </c>
      <c r="AJ23" s="14" t="s">
        <v>43</v>
      </c>
      <c r="AK23" s="15" t="s">
        <v>70</v>
      </c>
    </row>
    <row r="24" spans="1:37">
      <c r="A24" s="1">
        <v>22</v>
      </c>
      <c r="B24" s="16" t="s">
        <v>40</v>
      </c>
      <c r="C24" s="13" t="s">
        <v>41</v>
      </c>
      <c r="D24" s="14">
        <v>2009</v>
      </c>
      <c r="E24" s="21">
        <v>15.5</v>
      </c>
      <c r="F24" s="15">
        <v>1</v>
      </c>
      <c r="G24" s="16" t="s">
        <v>313</v>
      </c>
      <c r="H24" s="14" t="s">
        <v>518</v>
      </c>
      <c r="I24" s="13" t="s">
        <v>25</v>
      </c>
      <c r="J24" s="13">
        <v>0</v>
      </c>
      <c r="K24" s="16">
        <v>3</v>
      </c>
      <c r="L24" s="13">
        <f t="shared" si="0"/>
        <v>3</v>
      </c>
      <c r="M24" s="13">
        <v>0</v>
      </c>
      <c r="N24" s="13">
        <f t="shared" si="1"/>
        <v>0</v>
      </c>
      <c r="O24" s="13">
        <f t="shared" si="2"/>
        <v>3</v>
      </c>
      <c r="P24" s="13">
        <f t="shared" si="3"/>
        <v>3</v>
      </c>
      <c r="Q24" s="18">
        <v>1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1</v>
      </c>
      <c r="Z24" s="18">
        <v>0</v>
      </c>
      <c r="AA24" s="18">
        <v>0</v>
      </c>
      <c r="AB24" s="18">
        <v>0</v>
      </c>
      <c r="AC24" s="20">
        <f t="shared" si="4"/>
        <v>2</v>
      </c>
      <c r="AD24" s="13" t="s">
        <v>26</v>
      </c>
      <c r="AE24" s="13">
        <v>100</v>
      </c>
      <c r="AG24" s="16" t="s">
        <v>45</v>
      </c>
      <c r="AI24" s="13" t="s">
        <v>42</v>
      </c>
      <c r="AJ24" s="14" t="s">
        <v>43</v>
      </c>
      <c r="AK24" s="15" t="s">
        <v>71</v>
      </c>
    </row>
    <row r="25" spans="1:37">
      <c r="A25" s="1">
        <v>23</v>
      </c>
      <c r="B25" s="12" t="s">
        <v>40</v>
      </c>
      <c r="C25" s="13" t="s">
        <v>41</v>
      </c>
      <c r="D25" s="14">
        <v>2009</v>
      </c>
      <c r="E25" s="21">
        <v>15.56</v>
      </c>
      <c r="F25" s="15">
        <v>1</v>
      </c>
      <c r="G25" s="16" t="s">
        <v>314</v>
      </c>
      <c r="H25" s="14" t="s">
        <v>519</v>
      </c>
      <c r="I25" s="13" t="s">
        <v>25</v>
      </c>
      <c r="J25" s="13">
        <v>0</v>
      </c>
      <c r="K25" s="16">
        <v>2</v>
      </c>
      <c r="L25" s="13">
        <f t="shared" si="0"/>
        <v>2</v>
      </c>
      <c r="M25" s="13">
        <v>0</v>
      </c>
      <c r="N25" s="13">
        <f t="shared" si="1"/>
        <v>0</v>
      </c>
      <c r="O25" s="13">
        <f t="shared" si="2"/>
        <v>2</v>
      </c>
      <c r="P25" s="13">
        <f t="shared" si="3"/>
        <v>2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2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20">
        <f t="shared" si="4"/>
        <v>2</v>
      </c>
      <c r="AD25" s="13" t="s">
        <v>26</v>
      </c>
      <c r="AE25" s="13">
        <v>400</v>
      </c>
      <c r="AG25" s="16" t="s">
        <v>45</v>
      </c>
      <c r="AI25" s="13" t="s">
        <v>42</v>
      </c>
      <c r="AJ25" s="14" t="s">
        <v>43</v>
      </c>
      <c r="AK25" s="15" t="s">
        <v>72</v>
      </c>
    </row>
    <row r="26" spans="1:37">
      <c r="A26" s="1">
        <v>24</v>
      </c>
      <c r="B26" s="16" t="s">
        <v>40</v>
      </c>
      <c r="C26" s="13" t="s">
        <v>41</v>
      </c>
      <c r="D26" s="14">
        <v>2009</v>
      </c>
      <c r="E26" s="21">
        <v>15.58</v>
      </c>
      <c r="F26" s="15">
        <v>1</v>
      </c>
      <c r="G26" s="16" t="s">
        <v>315</v>
      </c>
      <c r="H26" s="14" t="s">
        <v>520</v>
      </c>
      <c r="I26" s="13" t="s">
        <v>25</v>
      </c>
      <c r="J26" s="13">
        <v>0</v>
      </c>
      <c r="K26" s="16">
        <v>1</v>
      </c>
      <c r="L26" s="13">
        <f t="shared" si="0"/>
        <v>1</v>
      </c>
      <c r="M26" s="13">
        <v>0</v>
      </c>
      <c r="N26" s="13">
        <f t="shared" si="1"/>
        <v>0</v>
      </c>
      <c r="O26" s="13">
        <f t="shared" si="2"/>
        <v>1</v>
      </c>
      <c r="P26" s="13">
        <f t="shared" si="3"/>
        <v>1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1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20">
        <f t="shared" si="4"/>
        <v>1</v>
      </c>
      <c r="AE26" s="13">
        <v>53</v>
      </c>
      <c r="AF26" s="14" t="s">
        <v>65</v>
      </c>
      <c r="AG26" s="16" t="s">
        <v>45</v>
      </c>
      <c r="AI26" s="13" t="s">
        <v>42</v>
      </c>
      <c r="AJ26" s="14" t="s">
        <v>43</v>
      </c>
      <c r="AK26" s="15" t="s">
        <v>73</v>
      </c>
    </row>
    <row r="27" spans="1:37">
      <c r="A27" s="1">
        <v>25</v>
      </c>
      <c r="B27" s="12" t="s">
        <v>40</v>
      </c>
      <c r="C27" s="13" t="s">
        <v>41</v>
      </c>
      <c r="D27" s="14">
        <v>2009</v>
      </c>
      <c r="E27" s="21">
        <v>16.05</v>
      </c>
      <c r="F27" s="15">
        <v>1</v>
      </c>
      <c r="G27" s="16" t="s">
        <v>316</v>
      </c>
      <c r="H27" s="14" t="s">
        <v>521</v>
      </c>
      <c r="I27" s="13" t="s">
        <v>25</v>
      </c>
      <c r="J27" s="13">
        <v>0</v>
      </c>
      <c r="K27" s="16">
        <v>2</v>
      </c>
      <c r="L27" s="13">
        <f t="shared" si="0"/>
        <v>2</v>
      </c>
      <c r="M27" s="13">
        <v>0</v>
      </c>
      <c r="N27" s="13">
        <f t="shared" si="1"/>
        <v>0</v>
      </c>
      <c r="O27" s="13">
        <f t="shared" si="2"/>
        <v>2</v>
      </c>
      <c r="P27" s="13">
        <f t="shared" si="3"/>
        <v>2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2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20">
        <f t="shared" si="4"/>
        <v>2</v>
      </c>
      <c r="AE27" s="13">
        <v>350</v>
      </c>
      <c r="AF27" s="14" t="s">
        <v>65</v>
      </c>
      <c r="AG27" s="16" t="s">
        <v>45</v>
      </c>
      <c r="AI27" s="13" t="s">
        <v>42</v>
      </c>
      <c r="AJ27" s="14" t="s">
        <v>43</v>
      </c>
      <c r="AK27" s="15" t="s">
        <v>74</v>
      </c>
    </row>
    <row r="28" spans="1:37">
      <c r="A28" s="1">
        <v>26</v>
      </c>
      <c r="B28" s="16" t="s">
        <v>40</v>
      </c>
      <c r="C28" s="13" t="s">
        <v>41</v>
      </c>
      <c r="D28" s="14">
        <v>2009</v>
      </c>
      <c r="E28" s="21">
        <v>16.11</v>
      </c>
      <c r="F28" s="15">
        <v>1</v>
      </c>
      <c r="G28" s="16" t="s">
        <v>317</v>
      </c>
      <c r="H28" s="14" t="s">
        <v>522</v>
      </c>
      <c r="I28" s="13" t="s">
        <v>25</v>
      </c>
      <c r="J28" s="13">
        <v>0</v>
      </c>
      <c r="K28" s="16">
        <v>1</v>
      </c>
      <c r="L28" s="13">
        <f t="shared" si="0"/>
        <v>1</v>
      </c>
      <c r="M28" s="13">
        <v>0</v>
      </c>
      <c r="N28" s="13">
        <f t="shared" si="1"/>
        <v>0</v>
      </c>
      <c r="O28" s="13">
        <f t="shared" si="2"/>
        <v>1</v>
      </c>
      <c r="P28" s="13">
        <f t="shared" si="3"/>
        <v>1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1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20">
        <f t="shared" si="4"/>
        <v>1</v>
      </c>
      <c r="AD28" s="13" t="s">
        <v>75</v>
      </c>
      <c r="AE28" s="13">
        <v>1000</v>
      </c>
      <c r="AG28" s="16" t="s">
        <v>45</v>
      </c>
      <c r="AI28" s="13" t="s">
        <v>42</v>
      </c>
      <c r="AJ28" s="14" t="s">
        <v>43</v>
      </c>
      <c r="AK28" s="15" t="s">
        <v>76</v>
      </c>
    </row>
    <row r="29" spans="1:37">
      <c r="A29" s="1">
        <v>27</v>
      </c>
      <c r="B29" s="12" t="s">
        <v>40</v>
      </c>
      <c r="C29" s="13" t="s">
        <v>41</v>
      </c>
      <c r="D29" s="14">
        <v>2009</v>
      </c>
      <c r="E29" s="21">
        <v>16.170000000000002</v>
      </c>
      <c r="F29" s="15">
        <v>1</v>
      </c>
      <c r="G29" s="16" t="s">
        <v>318</v>
      </c>
      <c r="H29" s="14" t="s">
        <v>523</v>
      </c>
      <c r="I29" s="13" t="s">
        <v>25</v>
      </c>
      <c r="J29" s="13">
        <v>0</v>
      </c>
      <c r="K29" s="16">
        <v>1</v>
      </c>
      <c r="L29" s="13">
        <f t="shared" si="0"/>
        <v>1</v>
      </c>
      <c r="M29" s="13">
        <v>0</v>
      </c>
      <c r="N29" s="13">
        <f t="shared" si="1"/>
        <v>0</v>
      </c>
      <c r="O29" s="13">
        <f t="shared" si="2"/>
        <v>1</v>
      </c>
      <c r="P29" s="13">
        <f t="shared" si="3"/>
        <v>1</v>
      </c>
      <c r="Q29" s="18">
        <v>1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20">
        <f t="shared" si="4"/>
        <v>1</v>
      </c>
      <c r="AD29" s="13" t="s">
        <v>77</v>
      </c>
      <c r="AE29" s="13">
        <v>1300</v>
      </c>
      <c r="AG29" s="16" t="s">
        <v>45</v>
      </c>
      <c r="AI29" s="13" t="s">
        <v>42</v>
      </c>
      <c r="AJ29" s="14" t="s">
        <v>43</v>
      </c>
      <c r="AK29" s="15" t="s">
        <v>78</v>
      </c>
    </row>
    <row r="30" spans="1:37">
      <c r="A30" s="1">
        <v>28</v>
      </c>
      <c r="B30" s="16" t="s">
        <v>40</v>
      </c>
      <c r="C30" s="13" t="s">
        <v>41</v>
      </c>
      <c r="D30" s="14">
        <v>2009</v>
      </c>
      <c r="E30" s="21">
        <v>16.23</v>
      </c>
      <c r="F30" s="15">
        <v>1</v>
      </c>
      <c r="G30" s="16" t="s">
        <v>319</v>
      </c>
      <c r="H30" s="14" t="s">
        <v>524</v>
      </c>
      <c r="I30" s="13" t="s">
        <v>25</v>
      </c>
      <c r="J30" s="13">
        <v>0</v>
      </c>
      <c r="K30" s="16">
        <v>1</v>
      </c>
      <c r="L30" s="13">
        <f t="shared" si="0"/>
        <v>1</v>
      </c>
      <c r="M30" s="13">
        <v>0</v>
      </c>
      <c r="N30" s="13">
        <f t="shared" si="1"/>
        <v>0</v>
      </c>
      <c r="O30" s="13">
        <f t="shared" si="2"/>
        <v>1</v>
      </c>
      <c r="P30" s="13">
        <f t="shared" si="3"/>
        <v>1</v>
      </c>
      <c r="Q30" s="18">
        <v>1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20">
        <f t="shared" si="4"/>
        <v>1</v>
      </c>
      <c r="AD30" s="13" t="s">
        <v>77</v>
      </c>
      <c r="AE30" s="13">
        <v>3000</v>
      </c>
      <c r="AG30" s="16" t="s">
        <v>45</v>
      </c>
      <c r="AI30" s="13" t="s">
        <v>42</v>
      </c>
      <c r="AJ30" s="14" t="s">
        <v>43</v>
      </c>
      <c r="AK30" s="15" t="s">
        <v>79</v>
      </c>
    </row>
    <row r="31" spans="1:37">
      <c r="A31" s="1">
        <v>29</v>
      </c>
      <c r="B31" s="12" t="s">
        <v>40</v>
      </c>
      <c r="C31" s="13" t="s">
        <v>41</v>
      </c>
      <c r="D31" s="14">
        <v>2009</v>
      </c>
      <c r="E31" s="21">
        <v>16.239999999999998</v>
      </c>
      <c r="F31" s="15">
        <v>1</v>
      </c>
      <c r="G31" s="16" t="s">
        <v>320</v>
      </c>
      <c r="H31" s="14" t="s">
        <v>525</v>
      </c>
      <c r="I31" s="13" t="s">
        <v>25</v>
      </c>
      <c r="J31" s="13">
        <v>0</v>
      </c>
      <c r="K31" s="16">
        <v>1</v>
      </c>
      <c r="L31" s="13">
        <f t="shared" si="0"/>
        <v>1</v>
      </c>
      <c r="M31" s="13">
        <v>0</v>
      </c>
      <c r="N31" s="13">
        <f t="shared" si="1"/>
        <v>0</v>
      </c>
      <c r="O31" s="13">
        <f t="shared" si="2"/>
        <v>1</v>
      </c>
      <c r="P31" s="13">
        <f t="shared" si="3"/>
        <v>1</v>
      </c>
      <c r="Q31" s="18">
        <v>1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20">
        <f t="shared" si="4"/>
        <v>1</v>
      </c>
      <c r="AD31" s="13" t="s">
        <v>46</v>
      </c>
      <c r="AE31" s="13">
        <v>300</v>
      </c>
      <c r="AG31" s="16" t="s">
        <v>45</v>
      </c>
      <c r="AI31" s="13" t="s">
        <v>42</v>
      </c>
      <c r="AJ31" s="14" t="s">
        <v>43</v>
      </c>
      <c r="AK31" s="15" t="s">
        <v>80</v>
      </c>
    </row>
    <row r="32" spans="1:37">
      <c r="A32" s="1">
        <v>30</v>
      </c>
      <c r="B32" s="16" t="s">
        <v>40</v>
      </c>
      <c r="C32" s="13" t="s">
        <v>41</v>
      </c>
      <c r="D32" s="14">
        <v>2009</v>
      </c>
      <c r="E32" s="21">
        <v>16.3</v>
      </c>
      <c r="F32" s="15">
        <v>1</v>
      </c>
      <c r="G32" s="16" t="s">
        <v>321</v>
      </c>
      <c r="H32" s="14" t="s">
        <v>526</v>
      </c>
      <c r="I32" s="13" t="s">
        <v>25</v>
      </c>
      <c r="J32" s="13">
        <v>0</v>
      </c>
      <c r="K32" s="16">
        <v>1</v>
      </c>
      <c r="L32" s="13">
        <f t="shared" si="0"/>
        <v>1</v>
      </c>
      <c r="M32" s="13">
        <v>0</v>
      </c>
      <c r="N32" s="13">
        <f t="shared" si="1"/>
        <v>0</v>
      </c>
      <c r="O32" s="13">
        <f t="shared" si="2"/>
        <v>1</v>
      </c>
      <c r="P32" s="13">
        <f t="shared" si="3"/>
        <v>1</v>
      </c>
      <c r="Q32" s="18">
        <v>0</v>
      </c>
      <c r="R32" s="18">
        <v>1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20">
        <f t="shared" si="4"/>
        <v>1</v>
      </c>
      <c r="AD32" s="13" t="s">
        <v>46</v>
      </c>
      <c r="AE32" s="13">
        <v>450</v>
      </c>
      <c r="AG32" s="16" t="s">
        <v>45</v>
      </c>
      <c r="AI32" s="13" t="s">
        <v>42</v>
      </c>
      <c r="AJ32" s="14" t="s">
        <v>43</v>
      </c>
      <c r="AK32" s="15" t="s">
        <v>81</v>
      </c>
    </row>
    <row r="33" spans="1:37">
      <c r="A33" s="1">
        <v>31</v>
      </c>
      <c r="B33" s="12" t="s">
        <v>40</v>
      </c>
      <c r="C33" s="13" t="s">
        <v>41</v>
      </c>
      <c r="D33" s="14">
        <v>2009</v>
      </c>
      <c r="E33" s="21">
        <v>16.43</v>
      </c>
      <c r="F33" s="15">
        <v>1</v>
      </c>
      <c r="G33" s="16" t="s">
        <v>322</v>
      </c>
      <c r="H33" s="14" t="s">
        <v>527</v>
      </c>
      <c r="I33" s="13" t="s">
        <v>25</v>
      </c>
      <c r="J33" s="13">
        <v>0</v>
      </c>
      <c r="K33" s="16">
        <v>1</v>
      </c>
      <c r="L33" s="13">
        <f t="shared" si="0"/>
        <v>1</v>
      </c>
      <c r="M33" s="13">
        <v>0</v>
      </c>
      <c r="N33" s="13">
        <f t="shared" si="1"/>
        <v>0</v>
      </c>
      <c r="O33" s="13">
        <f t="shared" si="2"/>
        <v>1</v>
      </c>
      <c r="P33" s="13">
        <f t="shared" si="3"/>
        <v>1</v>
      </c>
      <c r="Q33" s="18">
        <v>1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20">
        <f t="shared" si="4"/>
        <v>1</v>
      </c>
      <c r="AE33" s="13">
        <v>2500</v>
      </c>
      <c r="AG33" s="16" t="s">
        <v>45</v>
      </c>
      <c r="AI33" s="13" t="s">
        <v>42</v>
      </c>
      <c r="AJ33" s="14" t="s">
        <v>82</v>
      </c>
      <c r="AK33" s="15" t="s">
        <v>83</v>
      </c>
    </row>
    <row r="34" spans="1:37">
      <c r="A34" s="1">
        <v>32</v>
      </c>
      <c r="B34" s="16" t="s">
        <v>40</v>
      </c>
      <c r="C34" s="13" t="s">
        <v>41</v>
      </c>
      <c r="D34" s="14">
        <v>2009</v>
      </c>
      <c r="E34" s="21">
        <v>16.46</v>
      </c>
      <c r="F34" s="15">
        <v>1</v>
      </c>
      <c r="G34" s="16" t="s">
        <v>323</v>
      </c>
      <c r="H34" s="14" t="s">
        <v>528</v>
      </c>
      <c r="I34" s="13" t="s">
        <v>25</v>
      </c>
      <c r="J34" s="13">
        <v>0</v>
      </c>
      <c r="K34" s="16">
        <v>1</v>
      </c>
      <c r="L34" s="13">
        <f t="shared" si="0"/>
        <v>1</v>
      </c>
      <c r="M34" s="13">
        <v>0</v>
      </c>
      <c r="N34" s="13">
        <f t="shared" si="1"/>
        <v>0</v>
      </c>
      <c r="O34" s="13">
        <f t="shared" si="2"/>
        <v>1</v>
      </c>
      <c r="P34" s="13">
        <f t="shared" si="3"/>
        <v>1</v>
      </c>
      <c r="Q34" s="18">
        <v>1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20">
        <f t="shared" si="4"/>
        <v>1</v>
      </c>
      <c r="AE34" s="13">
        <v>4500</v>
      </c>
      <c r="AG34" s="16" t="s">
        <v>45</v>
      </c>
      <c r="AI34" s="13" t="s">
        <v>42</v>
      </c>
      <c r="AJ34" s="14" t="s">
        <v>82</v>
      </c>
      <c r="AK34" s="15" t="s">
        <v>84</v>
      </c>
    </row>
    <row r="35" spans="1:37">
      <c r="A35" s="1">
        <v>33</v>
      </c>
      <c r="B35" s="12" t="s">
        <v>40</v>
      </c>
      <c r="C35" s="13" t="s">
        <v>41</v>
      </c>
      <c r="D35" s="14">
        <v>2009</v>
      </c>
      <c r="E35" s="21">
        <v>16.5</v>
      </c>
      <c r="F35" s="15">
        <v>1</v>
      </c>
      <c r="G35" s="16" t="s">
        <v>324</v>
      </c>
      <c r="H35" s="14" t="s">
        <v>529</v>
      </c>
      <c r="I35" s="13" t="s">
        <v>25</v>
      </c>
      <c r="J35" s="13">
        <v>0</v>
      </c>
      <c r="K35" s="16">
        <v>1</v>
      </c>
      <c r="L35" s="13">
        <f t="shared" si="0"/>
        <v>1</v>
      </c>
      <c r="M35" s="13">
        <v>0</v>
      </c>
      <c r="N35" s="13">
        <f t="shared" si="1"/>
        <v>0</v>
      </c>
      <c r="O35" s="13">
        <f t="shared" si="2"/>
        <v>1</v>
      </c>
      <c r="P35" s="13">
        <f t="shared" si="3"/>
        <v>1</v>
      </c>
      <c r="Q35" s="18">
        <v>1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20">
        <f t="shared" si="4"/>
        <v>1</v>
      </c>
      <c r="AE35" s="13">
        <v>1200</v>
      </c>
      <c r="AG35" s="16" t="s">
        <v>45</v>
      </c>
      <c r="AI35" s="13" t="s">
        <v>42</v>
      </c>
      <c r="AJ35" s="14" t="s">
        <v>82</v>
      </c>
      <c r="AK35" s="15" t="s">
        <v>85</v>
      </c>
    </row>
    <row r="36" spans="1:37">
      <c r="A36" s="1">
        <v>34</v>
      </c>
      <c r="B36" s="16" t="s">
        <v>40</v>
      </c>
      <c r="C36" s="13" t="s">
        <v>41</v>
      </c>
      <c r="D36" s="14">
        <v>2009</v>
      </c>
      <c r="E36" s="21">
        <v>16.55</v>
      </c>
      <c r="F36" s="15">
        <v>1</v>
      </c>
      <c r="G36" s="16" t="s">
        <v>325</v>
      </c>
      <c r="H36" s="14" t="s">
        <v>530</v>
      </c>
      <c r="I36" s="13" t="s">
        <v>25</v>
      </c>
      <c r="J36" s="13">
        <v>0</v>
      </c>
      <c r="K36" s="16">
        <v>2</v>
      </c>
      <c r="L36" s="13">
        <f t="shared" si="0"/>
        <v>2</v>
      </c>
      <c r="M36" s="13">
        <v>0</v>
      </c>
      <c r="N36" s="13">
        <f t="shared" si="1"/>
        <v>0</v>
      </c>
      <c r="O36" s="13">
        <f t="shared" si="2"/>
        <v>2</v>
      </c>
      <c r="P36" s="13">
        <f t="shared" si="3"/>
        <v>2</v>
      </c>
      <c r="Q36" s="18">
        <v>2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20">
        <f t="shared" si="4"/>
        <v>2</v>
      </c>
      <c r="AE36" s="13">
        <v>750</v>
      </c>
      <c r="AG36" s="16" t="s">
        <v>45</v>
      </c>
      <c r="AI36" s="13" t="s">
        <v>42</v>
      </c>
      <c r="AJ36" s="14" t="s">
        <v>82</v>
      </c>
      <c r="AK36" s="15" t="s">
        <v>86</v>
      </c>
    </row>
    <row r="37" spans="1:37">
      <c r="A37" s="1">
        <v>35</v>
      </c>
      <c r="B37" s="12" t="s">
        <v>40</v>
      </c>
      <c r="C37" s="13" t="s">
        <v>41</v>
      </c>
      <c r="D37" s="14">
        <v>2009</v>
      </c>
      <c r="E37" s="21">
        <v>16.57</v>
      </c>
      <c r="F37" s="15">
        <v>1</v>
      </c>
      <c r="G37" s="16" t="s">
        <v>326</v>
      </c>
      <c r="H37" s="14" t="s">
        <v>531</v>
      </c>
      <c r="I37" s="13" t="s">
        <v>25</v>
      </c>
      <c r="J37" s="13">
        <v>0</v>
      </c>
      <c r="K37" s="16">
        <v>1</v>
      </c>
      <c r="L37" s="13">
        <f t="shared" si="0"/>
        <v>1</v>
      </c>
      <c r="M37" s="13">
        <v>0</v>
      </c>
      <c r="N37" s="13">
        <f t="shared" si="1"/>
        <v>0</v>
      </c>
      <c r="O37" s="13">
        <f t="shared" si="2"/>
        <v>1</v>
      </c>
      <c r="P37" s="13">
        <f t="shared" si="3"/>
        <v>1</v>
      </c>
      <c r="Q37" s="18">
        <v>1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20">
        <f t="shared" si="4"/>
        <v>1</v>
      </c>
      <c r="AE37" s="13">
        <v>300</v>
      </c>
      <c r="AG37" s="16" t="s">
        <v>45</v>
      </c>
      <c r="AI37" s="13" t="s">
        <v>42</v>
      </c>
      <c r="AJ37" s="14" t="s">
        <v>82</v>
      </c>
      <c r="AK37" s="15" t="s">
        <v>87</v>
      </c>
    </row>
    <row r="38" spans="1:37">
      <c r="A38" s="1">
        <v>36</v>
      </c>
      <c r="B38" s="16" t="s">
        <v>40</v>
      </c>
      <c r="C38" s="13" t="s">
        <v>41</v>
      </c>
      <c r="D38" s="14">
        <v>2009</v>
      </c>
      <c r="E38" s="21">
        <v>17.02</v>
      </c>
      <c r="F38" s="15">
        <v>1</v>
      </c>
      <c r="G38" s="16" t="s">
        <v>327</v>
      </c>
      <c r="H38" s="14" t="s">
        <v>532</v>
      </c>
      <c r="I38" s="13" t="s">
        <v>25</v>
      </c>
      <c r="J38" s="13">
        <v>0</v>
      </c>
      <c r="K38" s="16">
        <v>3</v>
      </c>
      <c r="L38" s="13">
        <f t="shared" si="0"/>
        <v>3</v>
      </c>
      <c r="M38" s="13">
        <v>0</v>
      </c>
      <c r="N38" s="13">
        <f t="shared" si="1"/>
        <v>0</v>
      </c>
      <c r="O38" s="13">
        <f t="shared" si="2"/>
        <v>3</v>
      </c>
      <c r="P38" s="13">
        <f t="shared" si="3"/>
        <v>3</v>
      </c>
      <c r="Q38" s="18">
        <v>3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20">
        <f t="shared" si="4"/>
        <v>3</v>
      </c>
      <c r="AE38" s="13">
        <v>600</v>
      </c>
      <c r="AG38" s="16" t="s">
        <v>45</v>
      </c>
      <c r="AI38" s="13" t="s">
        <v>42</v>
      </c>
      <c r="AJ38" s="14" t="s">
        <v>82</v>
      </c>
      <c r="AK38" s="15" t="s">
        <v>88</v>
      </c>
    </row>
    <row r="39" spans="1:37">
      <c r="A39" s="1">
        <v>37</v>
      </c>
      <c r="B39" s="12" t="s">
        <v>40</v>
      </c>
      <c r="C39" s="13" t="s">
        <v>41</v>
      </c>
      <c r="D39" s="14">
        <v>2009</v>
      </c>
      <c r="E39" s="21">
        <v>17.07</v>
      </c>
      <c r="F39" s="15">
        <v>1</v>
      </c>
      <c r="G39" s="16" t="s">
        <v>328</v>
      </c>
      <c r="H39" s="14" t="s">
        <v>533</v>
      </c>
      <c r="I39" s="13" t="s">
        <v>25</v>
      </c>
      <c r="J39" s="13">
        <v>0</v>
      </c>
      <c r="K39" s="16">
        <v>2</v>
      </c>
      <c r="L39" s="13">
        <f>K39/F39</f>
        <v>2</v>
      </c>
      <c r="M39" s="13">
        <v>0</v>
      </c>
      <c r="N39" s="13">
        <f t="shared" si="1"/>
        <v>0</v>
      </c>
      <c r="O39" s="13">
        <f t="shared" si="2"/>
        <v>2</v>
      </c>
      <c r="P39" s="13">
        <f t="shared" si="3"/>
        <v>2</v>
      </c>
      <c r="Q39" s="18">
        <v>2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20">
        <f t="shared" si="4"/>
        <v>2</v>
      </c>
      <c r="AE39" s="13">
        <v>800</v>
      </c>
      <c r="AG39" s="16" t="s">
        <v>45</v>
      </c>
      <c r="AI39" s="13" t="s">
        <v>42</v>
      </c>
      <c r="AJ39" s="14" t="s">
        <v>82</v>
      </c>
      <c r="AK39" s="15" t="s">
        <v>89</v>
      </c>
    </row>
    <row r="40" spans="1:37">
      <c r="A40" s="1">
        <v>38</v>
      </c>
      <c r="B40" s="16" t="s">
        <v>40</v>
      </c>
      <c r="C40" s="13" t="s">
        <v>41</v>
      </c>
      <c r="D40" s="14">
        <v>2009</v>
      </c>
      <c r="E40" s="21">
        <v>17.100000000000001</v>
      </c>
      <c r="F40" s="15">
        <v>1</v>
      </c>
      <c r="G40" s="16" t="s">
        <v>329</v>
      </c>
      <c r="H40" s="14" t="s">
        <v>534</v>
      </c>
      <c r="I40" s="13" t="s">
        <v>25</v>
      </c>
      <c r="J40" s="13">
        <v>0</v>
      </c>
      <c r="K40" s="16">
        <v>2</v>
      </c>
      <c r="L40" s="13">
        <f>K40/F40</f>
        <v>2</v>
      </c>
      <c r="M40" s="13">
        <v>0</v>
      </c>
      <c r="N40" s="13">
        <f t="shared" si="1"/>
        <v>0</v>
      </c>
      <c r="O40" s="13">
        <f t="shared" si="2"/>
        <v>2</v>
      </c>
      <c r="P40" s="13">
        <f t="shared" si="3"/>
        <v>2</v>
      </c>
      <c r="Q40" s="18">
        <v>2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20">
        <f t="shared" si="4"/>
        <v>2</v>
      </c>
      <c r="AE40" s="13">
        <v>1000</v>
      </c>
      <c r="AF40" s="14" t="s">
        <v>65</v>
      </c>
      <c r="AG40" s="16" t="s">
        <v>45</v>
      </c>
      <c r="AI40" s="13" t="s">
        <v>42</v>
      </c>
      <c r="AJ40" s="14" t="s">
        <v>82</v>
      </c>
      <c r="AK40" s="15" t="s">
        <v>89</v>
      </c>
    </row>
    <row r="41" spans="1:37">
      <c r="A41" s="1">
        <v>39</v>
      </c>
      <c r="B41" s="12" t="s">
        <v>40</v>
      </c>
      <c r="C41" s="13" t="s">
        <v>41</v>
      </c>
      <c r="D41" s="14">
        <v>2009</v>
      </c>
      <c r="E41" s="21">
        <v>17.12</v>
      </c>
      <c r="F41" s="15">
        <v>1</v>
      </c>
      <c r="G41" s="16" t="s">
        <v>330</v>
      </c>
      <c r="H41" s="14" t="s">
        <v>535</v>
      </c>
      <c r="I41" s="13" t="s">
        <v>25</v>
      </c>
      <c r="J41" s="13">
        <v>0</v>
      </c>
      <c r="K41" s="16">
        <v>3</v>
      </c>
      <c r="L41" s="13">
        <f t="shared" si="0"/>
        <v>3</v>
      </c>
      <c r="M41" s="13">
        <v>0</v>
      </c>
      <c r="N41" s="13">
        <f t="shared" si="1"/>
        <v>0</v>
      </c>
      <c r="O41" s="13">
        <f t="shared" si="2"/>
        <v>3</v>
      </c>
      <c r="P41" s="13">
        <f t="shared" si="3"/>
        <v>3</v>
      </c>
      <c r="Q41" s="18">
        <v>3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20">
        <f t="shared" si="4"/>
        <v>3</v>
      </c>
      <c r="AE41" s="13">
        <v>800</v>
      </c>
      <c r="AF41" s="14" t="s">
        <v>65</v>
      </c>
      <c r="AG41" s="16" t="s">
        <v>45</v>
      </c>
      <c r="AI41" s="13" t="s">
        <v>42</v>
      </c>
      <c r="AJ41" s="14" t="s">
        <v>82</v>
      </c>
      <c r="AK41" s="15" t="s">
        <v>89</v>
      </c>
    </row>
    <row r="42" spans="1:37">
      <c r="A42" s="1">
        <v>40</v>
      </c>
      <c r="B42" s="16" t="s">
        <v>40</v>
      </c>
      <c r="C42" s="13" t="s">
        <v>41</v>
      </c>
      <c r="D42" s="14">
        <v>2009</v>
      </c>
      <c r="E42" s="21">
        <v>17.14</v>
      </c>
      <c r="F42" s="15">
        <v>1</v>
      </c>
      <c r="G42" s="16" t="s">
        <v>331</v>
      </c>
      <c r="H42" s="14" t="s">
        <v>536</v>
      </c>
      <c r="I42" s="13" t="s">
        <v>25</v>
      </c>
      <c r="J42" s="13">
        <v>0</v>
      </c>
      <c r="K42" s="16">
        <v>3</v>
      </c>
      <c r="L42" s="13">
        <f t="shared" si="0"/>
        <v>3</v>
      </c>
      <c r="M42" s="13">
        <v>0</v>
      </c>
      <c r="N42" s="13">
        <f t="shared" si="1"/>
        <v>0</v>
      </c>
      <c r="O42" s="13">
        <f t="shared" si="2"/>
        <v>3</v>
      </c>
      <c r="P42" s="13">
        <f t="shared" si="3"/>
        <v>3</v>
      </c>
      <c r="Q42" s="18">
        <v>3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20">
        <f t="shared" si="4"/>
        <v>3</v>
      </c>
      <c r="AE42" s="13">
        <v>600</v>
      </c>
      <c r="AF42" s="14" t="s">
        <v>65</v>
      </c>
      <c r="AG42" s="16" t="s">
        <v>45</v>
      </c>
      <c r="AI42" s="13" t="s">
        <v>42</v>
      </c>
      <c r="AJ42" s="14" t="s">
        <v>82</v>
      </c>
      <c r="AK42" s="15" t="s">
        <v>90</v>
      </c>
    </row>
    <row r="43" spans="1:37">
      <c r="A43" s="1">
        <v>41</v>
      </c>
      <c r="B43" s="12" t="s">
        <v>40</v>
      </c>
      <c r="C43" s="13" t="s">
        <v>41</v>
      </c>
      <c r="D43" s="14">
        <v>2009</v>
      </c>
      <c r="E43" s="21">
        <v>17.2</v>
      </c>
      <c r="F43" s="15">
        <v>1</v>
      </c>
      <c r="G43" s="16" t="s">
        <v>332</v>
      </c>
      <c r="H43" s="14" t="s">
        <v>537</v>
      </c>
      <c r="I43" s="13" t="s">
        <v>25</v>
      </c>
      <c r="J43" s="13">
        <v>0</v>
      </c>
      <c r="K43" s="16">
        <v>2</v>
      </c>
      <c r="L43" s="13">
        <f t="shared" si="0"/>
        <v>2</v>
      </c>
      <c r="M43" s="13">
        <v>0</v>
      </c>
      <c r="N43" s="13">
        <f t="shared" si="1"/>
        <v>0</v>
      </c>
      <c r="O43" s="13">
        <f t="shared" si="2"/>
        <v>2</v>
      </c>
      <c r="P43" s="13">
        <f t="shared" si="3"/>
        <v>2</v>
      </c>
      <c r="Q43" s="18">
        <v>2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20">
        <f t="shared" si="4"/>
        <v>2</v>
      </c>
      <c r="AE43" s="13">
        <v>300</v>
      </c>
      <c r="AG43" s="16" t="s">
        <v>45</v>
      </c>
      <c r="AI43" s="13" t="s">
        <v>42</v>
      </c>
      <c r="AJ43" s="14" t="s">
        <v>82</v>
      </c>
      <c r="AK43" s="15" t="s">
        <v>92</v>
      </c>
    </row>
    <row r="44" spans="1:37">
      <c r="A44" s="1">
        <v>42</v>
      </c>
      <c r="B44" s="16" t="s">
        <v>40</v>
      </c>
      <c r="C44" s="13" t="s">
        <v>41</v>
      </c>
      <c r="D44" s="14">
        <v>2009</v>
      </c>
      <c r="E44" s="21">
        <v>17.21</v>
      </c>
      <c r="F44" s="15">
        <v>1</v>
      </c>
      <c r="G44" s="16" t="s">
        <v>333</v>
      </c>
      <c r="H44" s="14" t="s">
        <v>538</v>
      </c>
      <c r="I44" s="13" t="s">
        <v>25</v>
      </c>
      <c r="J44" s="13">
        <v>0</v>
      </c>
      <c r="K44" s="16">
        <v>2</v>
      </c>
      <c r="L44" s="13">
        <f t="shared" si="0"/>
        <v>2</v>
      </c>
      <c r="M44" s="13">
        <v>0</v>
      </c>
      <c r="N44" s="13">
        <f t="shared" si="1"/>
        <v>0</v>
      </c>
      <c r="O44" s="13">
        <f t="shared" si="2"/>
        <v>2</v>
      </c>
      <c r="P44" s="13">
        <f t="shared" si="3"/>
        <v>2</v>
      </c>
      <c r="Q44" s="18">
        <v>2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20">
        <f t="shared" si="4"/>
        <v>2</v>
      </c>
      <c r="AD44" s="13" t="s">
        <v>91</v>
      </c>
      <c r="AE44" s="13">
        <v>700</v>
      </c>
      <c r="AF44" s="14" t="s">
        <v>65</v>
      </c>
      <c r="AG44" s="16" t="s">
        <v>45</v>
      </c>
      <c r="AI44" s="13" t="s">
        <v>42</v>
      </c>
      <c r="AJ44" s="14" t="s">
        <v>82</v>
      </c>
      <c r="AK44" s="15" t="s">
        <v>93</v>
      </c>
    </row>
    <row r="45" spans="1:37">
      <c r="A45" s="1">
        <v>43</v>
      </c>
      <c r="B45" s="12" t="s">
        <v>40</v>
      </c>
      <c r="C45" s="13" t="s">
        <v>41</v>
      </c>
      <c r="D45" s="14">
        <v>2009</v>
      </c>
      <c r="E45" s="21">
        <v>17.309999999999999</v>
      </c>
      <c r="F45" s="15">
        <v>1</v>
      </c>
      <c r="G45" s="16" t="s">
        <v>334</v>
      </c>
      <c r="H45" s="14" t="s">
        <v>539</v>
      </c>
      <c r="I45" s="13" t="s">
        <v>25</v>
      </c>
      <c r="J45" s="13">
        <v>0</v>
      </c>
      <c r="K45" s="16">
        <v>2</v>
      </c>
      <c r="L45" s="13">
        <f t="shared" si="0"/>
        <v>2</v>
      </c>
      <c r="M45" s="13">
        <v>0</v>
      </c>
      <c r="N45" s="13">
        <f t="shared" si="1"/>
        <v>0</v>
      </c>
      <c r="O45" s="13">
        <f t="shared" si="2"/>
        <v>2</v>
      </c>
      <c r="P45" s="13">
        <f t="shared" si="3"/>
        <v>2</v>
      </c>
      <c r="Q45" s="18">
        <v>2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20">
        <f t="shared" si="4"/>
        <v>2</v>
      </c>
      <c r="AE45" s="13">
        <v>1200</v>
      </c>
      <c r="AF45" s="14" t="s">
        <v>65</v>
      </c>
      <c r="AG45" s="16" t="s">
        <v>45</v>
      </c>
      <c r="AI45" s="13" t="s">
        <v>42</v>
      </c>
      <c r="AJ45" s="14" t="s">
        <v>82</v>
      </c>
      <c r="AK45" s="15" t="s">
        <v>94</v>
      </c>
    </row>
    <row r="46" spans="1:37">
      <c r="A46" s="1">
        <v>44</v>
      </c>
      <c r="B46" s="16" t="s">
        <v>40</v>
      </c>
      <c r="C46" s="13" t="s">
        <v>41</v>
      </c>
      <c r="D46" s="14">
        <v>2009</v>
      </c>
      <c r="E46" s="21">
        <v>17.329999999999998</v>
      </c>
      <c r="F46" s="15">
        <v>1</v>
      </c>
      <c r="G46" s="16" t="s">
        <v>335</v>
      </c>
      <c r="H46" s="14" t="s">
        <v>540</v>
      </c>
      <c r="I46" s="13" t="s">
        <v>25</v>
      </c>
      <c r="J46" s="13">
        <v>0</v>
      </c>
      <c r="K46" s="16">
        <v>2</v>
      </c>
      <c r="L46" s="13">
        <f t="shared" si="0"/>
        <v>2</v>
      </c>
      <c r="M46" s="13">
        <v>0</v>
      </c>
      <c r="N46" s="13">
        <f t="shared" si="1"/>
        <v>0</v>
      </c>
      <c r="O46" s="13">
        <f t="shared" si="2"/>
        <v>2</v>
      </c>
      <c r="P46" s="13">
        <f t="shared" si="3"/>
        <v>2</v>
      </c>
      <c r="Q46" s="18">
        <v>2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20">
        <f t="shared" si="4"/>
        <v>2</v>
      </c>
      <c r="AD46" s="13" t="s">
        <v>51</v>
      </c>
      <c r="AE46" s="13">
        <v>1000</v>
      </c>
      <c r="AF46" s="14" t="s">
        <v>65</v>
      </c>
      <c r="AG46" s="16" t="s">
        <v>45</v>
      </c>
      <c r="AI46" s="13" t="s">
        <v>42</v>
      </c>
      <c r="AJ46" s="14" t="s">
        <v>82</v>
      </c>
      <c r="AK46" s="15" t="s">
        <v>95</v>
      </c>
    </row>
    <row r="47" spans="1:37">
      <c r="A47" s="1">
        <v>45</v>
      </c>
      <c r="B47" s="12" t="s">
        <v>40</v>
      </c>
      <c r="C47" s="13" t="s">
        <v>41</v>
      </c>
      <c r="D47" s="14">
        <v>2009</v>
      </c>
      <c r="E47" s="21">
        <v>17.34</v>
      </c>
      <c r="F47" s="15">
        <v>1</v>
      </c>
      <c r="G47" s="16" t="s">
        <v>336</v>
      </c>
      <c r="H47" s="14" t="s">
        <v>541</v>
      </c>
      <c r="I47" s="13" t="s">
        <v>25</v>
      </c>
      <c r="J47" s="13">
        <v>0</v>
      </c>
      <c r="K47" s="16">
        <v>3</v>
      </c>
      <c r="L47" s="13">
        <f t="shared" si="0"/>
        <v>3</v>
      </c>
      <c r="M47" s="13">
        <v>0</v>
      </c>
      <c r="N47" s="13">
        <f t="shared" si="1"/>
        <v>0</v>
      </c>
      <c r="O47" s="13">
        <f t="shared" si="2"/>
        <v>3</v>
      </c>
      <c r="P47" s="13">
        <f t="shared" si="3"/>
        <v>3</v>
      </c>
      <c r="Q47" s="18">
        <v>3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20">
        <f t="shared" si="4"/>
        <v>3</v>
      </c>
      <c r="AD47" s="13" t="s">
        <v>51</v>
      </c>
      <c r="AE47" s="13">
        <v>800</v>
      </c>
      <c r="AF47" s="14" t="s">
        <v>65</v>
      </c>
      <c r="AG47" s="16" t="s">
        <v>45</v>
      </c>
      <c r="AI47" s="13" t="s">
        <v>42</v>
      </c>
      <c r="AJ47" s="14" t="s">
        <v>82</v>
      </c>
      <c r="AK47" s="15" t="s">
        <v>92</v>
      </c>
    </row>
    <row r="48" spans="1:37">
      <c r="A48" s="1">
        <v>46</v>
      </c>
      <c r="B48" s="16" t="s">
        <v>40</v>
      </c>
      <c r="C48" s="13" t="s">
        <v>41</v>
      </c>
      <c r="D48" s="14">
        <v>2009</v>
      </c>
      <c r="E48" s="21">
        <v>17.37</v>
      </c>
      <c r="F48" s="15">
        <v>1</v>
      </c>
      <c r="G48" s="16" t="s">
        <v>337</v>
      </c>
      <c r="H48" s="14" t="s">
        <v>542</v>
      </c>
      <c r="I48" s="13" t="s">
        <v>25</v>
      </c>
      <c r="J48" s="13">
        <v>0</v>
      </c>
      <c r="K48" s="16">
        <v>3</v>
      </c>
      <c r="L48" s="13">
        <f t="shared" si="0"/>
        <v>3</v>
      </c>
      <c r="M48" s="13">
        <v>1</v>
      </c>
      <c r="N48" s="13">
        <f t="shared" si="1"/>
        <v>1</v>
      </c>
      <c r="O48" s="13">
        <f t="shared" si="2"/>
        <v>4</v>
      </c>
      <c r="P48" s="13">
        <f t="shared" si="3"/>
        <v>4</v>
      </c>
      <c r="Q48" s="18">
        <v>4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20">
        <f t="shared" si="4"/>
        <v>4</v>
      </c>
      <c r="AD48" s="13" t="s">
        <v>75</v>
      </c>
      <c r="AE48" s="13">
        <v>600</v>
      </c>
      <c r="AF48" s="14" t="s">
        <v>65</v>
      </c>
      <c r="AG48" s="16" t="s">
        <v>45</v>
      </c>
      <c r="AI48" s="13" t="s">
        <v>42</v>
      </c>
      <c r="AJ48" s="14" t="s">
        <v>82</v>
      </c>
      <c r="AK48" s="15" t="s">
        <v>96</v>
      </c>
    </row>
    <row r="49" spans="1:37">
      <c r="A49" s="1">
        <v>47</v>
      </c>
      <c r="B49" s="12" t="s">
        <v>40</v>
      </c>
      <c r="C49" s="13" t="s">
        <v>41</v>
      </c>
      <c r="D49" s="14">
        <v>2009</v>
      </c>
      <c r="E49" s="21">
        <v>17.41</v>
      </c>
      <c r="F49" s="15">
        <v>1</v>
      </c>
      <c r="G49" s="16" t="s">
        <v>338</v>
      </c>
      <c r="H49" s="14" t="s">
        <v>543</v>
      </c>
      <c r="I49" s="13" t="s">
        <v>25</v>
      </c>
      <c r="J49" s="13">
        <v>0</v>
      </c>
      <c r="K49" s="16">
        <v>2</v>
      </c>
      <c r="L49" s="13">
        <f t="shared" si="0"/>
        <v>2</v>
      </c>
      <c r="M49" s="13">
        <v>0</v>
      </c>
      <c r="N49" s="13">
        <f t="shared" si="1"/>
        <v>0</v>
      </c>
      <c r="O49" s="13">
        <f t="shared" si="2"/>
        <v>2</v>
      </c>
      <c r="P49" s="13">
        <f t="shared" si="3"/>
        <v>2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2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20">
        <f t="shared" si="4"/>
        <v>2</v>
      </c>
      <c r="AD49" s="13" t="s">
        <v>51</v>
      </c>
      <c r="AE49" s="13">
        <v>70</v>
      </c>
      <c r="AF49" s="14" t="s">
        <v>65</v>
      </c>
      <c r="AG49" s="16" t="s">
        <v>45</v>
      </c>
      <c r="AI49" s="13" t="s">
        <v>42</v>
      </c>
      <c r="AJ49" s="14" t="s">
        <v>82</v>
      </c>
      <c r="AK49" s="15" t="s">
        <v>97</v>
      </c>
    </row>
    <row r="50" spans="1:37">
      <c r="A50" s="1">
        <v>48</v>
      </c>
      <c r="B50" s="16" t="s">
        <v>40</v>
      </c>
      <c r="C50" s="13" t="s">
        <v>41</v>
      </c>
      <c r="D50" s="14">
        <v>2009</v>
      </c>
      <c r="E50" s="21">
        <v>16.43</v>
      </c>
      <c r="F50" s="15">
        <v>1</v>
      </c>
      <c r="G50" s="16" t="s">
        <v>339</v>
      </c>
      <c r="H50" s="14" t="s">
        <v>544</v>
      </c>
      <c r="I50" s="13" t="s">
        <v>25</v>
      </c>
      <c r="J50" s="13">
        <v>0</v>
      </c>
      <c r="K50" s="16">
        <v>1</v>
      </c>
      <c r="L50" s="13">
        <f t="shared" si="0"/>
        <v>1</v>
      </c>
      <c r="M50" s="13">
        <v>0</v>
      </c>
      <c r="N50" s="13">
        <f t="shared" si="1"/>
        <v>0</v>
      </c>
      <c r="O50" s="13">
        <f t="shared" si="2"/>
        <v>1</v>
      </c>
      <c r="P50" s="13">
        <f t="shared" si="3"/>
        <v>1</v>
      </c>
      <c r="Q50" s="18">
        <v>1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20">
        <f t="shared" si="4"/>
        <v>1</v>
      </c>
      <c r="AD50" s="13" t="s">
        <v>26</v>
      </c>
      <c r="AE50" s="13">
        <v>80</v>
      </c>
      <c r="AG50" s="16" t="s">
        <v>45</v>
      </c>
      <c r="AI50" s="13" t="s">
        <v>42</v>
      </c>
      <c r="AJ50" s="14" t="s">
        <v>82</v>
      </c>
      <c r="AK50" s="15" t="s">
        <v>98</v>
      </c>
    </row>
    <row r="51" spans="1:37">
      <c r="A51" s="1">
        <v>49</v>
      </c>
      <c r="B51" s="12" t="s">
        <v>40</v>
      </c>
      <c r="C51" s="13" t="s">
        <v>41</v>
      </c>
      <c r="D51" s="14">
        <v>2009</v>
      </c>
      <c r="E51" s="21">
        <v>17.440000000000001</v>
      </c>
      <c r="F51" s="15">
        <v>1</v>
      </c>
      <c r="G51" s="16" t="s">
        <v>340</v>
      </c>
      <c r="H51" s="14" t="s">
        <v>545</v>
      </c>
      <c r="I51" s="13" t="s">
        <v>25</v>
      </c>
      <c r="J51" s="13">
        <v>0</v>
      </c>
      <c r="K51" s="16">
        <v>1</v>
      </c>
      <c r="L51" s="13">
        <f t="shared" si="0"/>
        <v>1</v>
      </c>
      <c r="M51" s="13">
        <v>0</v>
      </c>
      <c r="N51" s="13">
        <f t="shared" si="1"/>
        <v>0</v>
      </c>
      <c r="O51" s="13">
        <f t="shared" si="2"/>
        <v>1</v>
      </c>
      <c r="P51" s="13">
        <f t="shared" si="3"/>
        <v>1</v>
      </c>
      <c r="Q51" s="18">
        <v>1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20">
        <f t="shared" si="4"/>
        <v>1</v>
      </c>
      <c r="AD51" s="13" t="s">
        <v>75</v>
      </c>
      <c r="AE51" s="13">
        <v>50</v>
      </c>
      <c r="AG51" s="16" t="s">
        <v>45</v>
      </c>
      <c r="AI51" s="13" t="s">
        <v>42</v>
      </c>
      <c r="AJ51" s="14" t="s">
        <v>82</v>
      </c>
      <c r="AK51" s="15" t="s">
        <v>99</v>
      </c>
    </row>
    <row r="52" spans="1:37">
      <c r="A52" s="1">
        <v>50</v>
      </c>
      <c r="B52" s="16" t="s">
        <v>40</v>
      </c>
      <c r="C52" s="13" t="s">
        <v>41</v>
      </c>
      <c r="D52" s="14">
        <v>2009</v>
      </c>
      <c r="E52" s="21">
        <v>17.45</v>
      </c>
      <c r="F52" s="15">
        <v>1</v>
      </c>
      <c r="G52" s="16" t="s">
        <v>341</v>
      </c>
      <c r="H52" s="14" t="s">
        <v>546</v>
      </c>
      <c r="I52" s="13" t="s">
        <v>25</v>
      </c>
      <c r="J52" s="13">
        <v>0</v>
      </c>
      <c r="K52" s="16">
        <v>2</v>
      </c>
      <c r="L52" s="13">
        <f t="shared" si="0"/>
        <v>2</v>
      </c>
      <c r="M52" s="13">
        <v>0</v>
      </c>
      <c r="N52" s="13">
        <f t="shared" si="1"/>
        <v>0</v>
      </c>
      <c r="O52" s="13">
        <f t="shared" si="2"/>
        <v>2</v>
      </c>
      <c r="P52" s="13">
        <f t="shared" si="3"/>
        <v>2</v>
      </c>
      <c r="Q52" s="18">
        <v>2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20">
        <f t="shared" si="4"/>
        <v>2</v>
      </c>
      <c r="AD52" s="13" t="s">
        <v>26</v>
      </c>
      <c r="AE52" s="13">
        <v>2300</v>
      </c>
      <c r="AG52" s="16" t="s">
        <v>45</v>
      </c>
      <c r="AI52" s="13" t="s">
        <v>42</v>
      </c>
      <c r="AJ52" s="14" t="s">
        <v>82</v>
      </c>
      <c r="AK52" s="15" t="s">
        <v>100</v>
      </c>
    </row>
    <row r="53" spans="1:37" s="23" customFormat="1">
      <c r="A53" s="23">
        <v>1</v>
      </c>
      <c r="B53" s="24" t="s">
        <v>101</v>
      </c>
      <c r="C53" s="25" t="s">
        <v>41</v>
      </c>
      <c r="D53" s="26">
        <v>2009</v>
      </c>
      <c r="E53" s="27">
        <v>7</v>
      </c>
      <c r="F53" s="28">
        <v>1</v>
      </c>
      <c r="G53" s="24" t="s">
        <v>342</v>
      </c>
      <c r="H53" s="26" t="s">
        <v>547</v>
      </c>
      <c r="I53" s="25" t="s">
        <v>25</v>
      </c>
      <c r="J53" s="25">
        <v>0</v>
      </c>
      <c r="K53" s="24">
        <v>3</v>
      </c>
      <c r="L53" s="25">
        <f t="shared" si="0"/>
        <v>3</v>
      </c>
      <c r="M53" s="25">
        <v>0</v>
      </c>
      <c r="N53" s="25">
        <f t="shared" si="1"/>
        <v>0</v>
      </c>
      <c r="O53" s="25">
        <f t="shared" si="2"/>
        <v>3</v>
      </c>
      <c r="P53" s="25">
        <f t="shared" si="3"/>
        <v>3</v>
      </c>
      <c r="Q53" s="29">
        <v>3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f t="shared" si="4"/>
        <v>3</v>
      </c>
      <c r="AD53" s="25"/>
      <c r="AE53" s="25">
        <v>1000</v>
      </c>
      <c r="AF53" s="26"/>
      <c r="AG53" s="24" t="s">
        <v>102</v>
      </c>
      <c r="AH53" s="25"/>
      <c r="AI53" s="25" t="s">
        <v>42</v>
      </c>
      <c r="AJ53" s="26" t="s">
        <v>103</v>
      </c>
      <c r="AK53" s="28" t="s">
        <v>104</v>
      </c>
    </row>
    <row r="54" spans="1:37">
      <c r="A54" s="1">
        <v>2</v>
      </c>
      <c r="B54" s="16" t="s">
        <v>101</v>
      </c>
      <c r="C54" s="13" t="s">
        <v>41</v>
      </c>
      <c r="D54" s="14">
        <v>2009</v>
      </c>
      <c r="E54" s="21">
        <v>7.03</v>
      </c>
      <c r="F54" s="15">
        <v>1</v>
      </c>
      <c r="G54" s="16" t="s">
        <v>343</v>
      </c>
      <c r="H54" s="14" t="s">
        <v>548</v>
      </c>
      <c r="I54" s="13" t="s">
        <v>25</v>
      </c>
      <c r="J54" s="13">
        <v>0</v>
      </c>
      <c r="K54" s="16">
        <v>2</v>
      </c>
      <c r="L54" s="13">
        <f t="shared" si="0"/>
        <v>2</v>
      </c>
      <c r="M54" s="13">
        <v>1</v>
      </c>
      <c r="N54" s="13">
        <f t="shared" si="1"/>
        <v>1</v>
      </c>
      <c r="O54" s="13">
        <f t="shared" si="2"/>
        <v>3</v>
      </c>
      <c r="P54" s="13">
        <f t="shared" si="3"/>
        <v>3</v>
      </c>
      <c r="Q54" s="18">
        <v>3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20">
        <f t="shared" si="4"/>
        <v>3</v>
      </c>
      <c r="AD54" s="13" t="s">
        <v>51</v>
      </c>
      <c r="AE54" s="13">
        <v>300</v>
      </c>
      <c r="AG54" s="16" t="s">
        <v>102</v>
      </c>
      <c r="AI54" s="13" t="s">
        <v>42</v>
      </c>
      <c r="AJ54" s="14" t="s">
        <v>103</v>
      </c>
      <c r="AK54" s="15" t="s">
        <v>105</v>
      </c>
    </row>
    <row r="55" spans="1:37">
      <c r="A55" s="1">
        <v>3</v>
      </c>
      <c r="B55" s="16" t="s">
        <v>101</v>
      </c>
      <c r="C55" s="13" t="s">
        <v>41</v>
      </c>
      <c r="D55" s="14">
        <v>2009</v>
      </c>
      <c r="E55" s="21">
        <v>7.08</v>
      </c>
      <c r="F55" s="15">
        <v>1</v>
      </c>
      <c r="G55" s="16" t="s">
        <v>344</v>
      </c>
      <c r="H55" s="14" t="s">
        <v>549</v>
      </c>
      <c r="I55" s="13" t="s">
        <v>25</v>
      </c>
      <c r="J55" s="13">
        <v>0</v>
      </c>
      <c r="K55" s="16">
        <v>7</v>
      </c>
      <c r="L55" s="13">
        <f t="shared" si="0"/>
        <v>7</v>
      </c>
      <c r="M55" s="13">
        <v>1</v>
      </c>
      <c r="N55" s="13">
        <f t="shared" si="1"/>
        <v>1</v>
      </c>
      <c r="O55" s="13">
        <f t="shared" si="2"/>
        <v>8</v>
      </c>
      <c r="P55" s="13">
        <f t="shared" si="3"/>
        <v>8</v>
      </c>
      <c r="Q55" s="18">
        <v>1</v>
      </c>
      <c r="R55" s="18">
        <v>1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20">
        <f t="shared" si="4"/>
        <v>2</v>
      </c>
      <c r="AD55" s="13" t="s">
        <v>75</v>
      </c>
      <c r="AE55" s="13">
        <v>500</v>
      </c>
      <c r="AG55" s="16" t="s">
        <v>102</v>
      </c>
      <c r="AI55" s="13" t="s">
        <v>42</v>
      </c>
      <c r="AJ55" s="14" t="s">
        <v>103</v>
      </c>
      <c r="AK55" s="15" t="s">
        <v>107</v>
      </c>
    </row>
    <row r="56" spans="1:37">
      <c r="A56" s="1">
        <v>4</v>
      </c>
      <c r="B56" s="16" t="s">
        <v>101</v>
      </c>
      <c r="C56" s="13" t="s">
        <v>41</v>
      </c>
      <c r="D56" s="14">
        <v>2009</v>
      </c>
      <c r="E56" s="21">
        <v>7.11</v>
      </c>
      <c r="F56" s="15">
        <v>1</v>
      </c>
      <c r="G56" s="16" t="s">
        <v>345</v>
      </c>
      <c r="H56" s="14" t="s">
        <v>550</v>
      </c>
      <c r="I56" s="13" t="s">
        <v>25</v>
      </c>
      <c r="J56" s="13">
        <v>0</v>
      </c>
      <c r="K56" s="16">
        <v>4</v>
      </c>
      <c r="L56" s="13">
        <f t="shared" si="0"/>
        <v>4</v>
      </c>
      <c r="M56" s="13">
        <v>0</v>
      </c>
      <c r="N56" s="13">
        <f t="shared" si="1"/>
        <v>0</v>
      </c>
      <c r="O56" s="13">
        <f t="shared" si="2"/>
        <v>4</v>
      </c>
      <c r="P56" s="13">
        <f t="shared" si="3"/>
        <v>4</v>
      </c>
      <c r="Q56" s="18">
        <v>0</v>
      </c>
      <c r="R56" s="18">
        <v>4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20">
        <f t="shared" si="4"/>
        <v>4</v>
      </c>
      <c r="AD56" s="13" t="s">
        <v>26</v>
      </c>
      <c r="AE56" s="13">
        <v>100</v>
      </c>
      <c r="AG56" s="16" t="s">
        <v>102</v>
      </c>
      <c r="AI56" s="13" t="s">
        <v>42</v>
      </c>
      <c r="AJ56" s="14" t="s">
        <v>103</v>
      </c>
      <c r="AK56" s="15" t="s">
        <v>106</v>
      </c>
    </row>
    <row r="57" spans="1:37">
      <c r="A57" s="1">
        <v>5</v>
      </c>
      <c r="B57" s="16" t="s">
        <v>101</v>
      </c>
      <c r="C57" s="13" t="s">
        <v>41</v>
      </c>
      <c r="D57" s="14">
        <v>2009</v>
      </c>
      <c r="E57" s="21">
        <v>7.14</v>
      </c>
      <c r="F57" s="15">
        <v>1</v>
      </c>
      <c r="G57" s="16" t="s">
        <v>346</v>
      </c>
      <c r="H57" s="14" t="s">
        <v>550</v>
      </c>
      <c r="I57" s="13" t="s">
        <v>25</v>
      </c>
      <c r="J57" s="13">
        <v>0</v>
      </c>
      <c r="K57" s="16">
        <v>2</v>
      </c>
      <c r="L57" s="13">
        <f t="shared" si="0"/>
        <v>2</v>
      </c>
      <c r="M57" s="13">
        <v>1</v>
      </c>
      <c r="N57" s="13">
        <f t="shared" si="1"/>
        <v>1</v>
      </c>
      <c r="O57" s="13">
        <f t="shared" si="2"/>
        <v>3</v>
      </c>
      <c r="P57" s="13">
        <f t="shared" si="3"/>
        <v>3</v>
      </c>
      <c r="Q57" s="18">
        <v>3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20">
        <f t="shared" si="4"/>
        <v>3</v>
      </c>
      <c r="AD57" s="13" t="s">
        <v>108</v>
      </c>
      <c r="AE57" s="13" t="s">
        <v>109</v>
      </c>
      <c r="AG57" s="16" t="s">
        <v>102</v>
      </c>
      <c r="AI57" s="13" t="s">
        <v>42</v>
      </c>
      <c r="AJ57" s="14" t="s">
        <v>103</v>
      </c>
      <c r="AK57" s="15" t="s">
        <v>106</v>
      </c>
    </row>
    <row r="58" spans="1:37">
      <c r="A58" s="1">
        <v>6</v>
      </c>
      <c r="B58" s="16" t="s">
        <v>101</v>
      </c>
      <c r="C58" s="13" t="s">
        <v>41</v>
      </c>
      <c r="D58" s="14">
        <v>2009</v>
      </c>
      <c r="E58" s="21">
        <v>7.2</v>
      </c>
      <c r="F58" s="15">
        <v>1</v>
      </c>
      <c r="G58" s="16" t="s">
        <v>347</v>
      </c>
      <c r="H58" s="14" t="s">
        <v>551</v>
      </c>
      <c r="I58" s="13" t="s">
        <v>25</v>
      </c>
      <c r="J58" s="13">
        <v>0</v>
      </c>
      <c r="K58" s="16">
        <v>4</v>
      </c>
      <c r="L58" s="13">
        <f t="shared" si="0"/>
        <v>4</v>
      </c>
      <c r="M58" s="13">
        <v>0</v>
      </c>
      <c r="N58" s="13">
        <f t="shared" si="1"/>
        <v>0</v>
      </c>
      <c r="O58" s="13">
        <f t="shared" si="2"/>
        <v>4</v>
      </c>
      <c r="P58" s="13">
        <f t="shared" si="3"/>
        <v>4</v>
      </c>
      <c r="Q58" s="18">
        <v>0</v>
      </c>
      <c r="R58" s="18">
        <v>4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20">
        <f t="shared" si="4"/>
        <v>4</v>
      </c>
      <c r="AD58" s="13" t="s">
        <v>75</v>
      </c>
      <c r="AE58" s="13">
        <v>60</v>
      </c>
      <c r="AG58" s="16" t="s">
        <v>102</v>
      </c>
      <c r="AI58" s="13" t="s">
        <v>42</v>
      </c>
      <c r="AJ58" s="14" t="s">
        <v>103</v>
      </c>
      <c r="AK58" s="15" t="s">
        <v>105</v>
      </c>
    </row>
    <row r="59" spans="1:37">
      <c r="A59" s="1">
        <v>7</v>
      </c>
      <c r="B59" s="16" t="s">
        <v>101</v>
      </c>
      <c r="C59" s="13" t="s">
        <v>41</v>
      </c>
      <c r="D59" s="14">
        <v>2009</v>
      </c>
      <c r="E59" s="21">
        <v>7.21</v>
      </c>
      <c r="F59" s="15">
        <v>1</v>
      </c>
      <c r="G59" s="16" t="s">
        <v>348</v>
      </c>
      <c r="H59" s="14" t="s">
        <v>552</v>
      </c>
      <c r="I59" s="13" t="s">
        <v>25</v>
      </c>
      <c r="J59" s="13">
        <v>0</v>
      </c>
      <c r="K59" s="16">
        <v>3</v>
      </c>
      <c r="L59" s="13">
        <f t="shared" si="0"/>
        <v>3</v>
      </c>
      <c r="M59" s="13">
        <v>0</v>
      </c>
      <c r="N59" s="13">
        <f t="shared" si="1"/>
        <v>0</v>
      </c>
      <c r="O59" s="13">
        <f t="shared" si="2"/>
        <v>3</v>
      </c>
      <c r="P59" s="13">
        <f t="shared" si="3"/>
        <v>3</v>
      </c>
      <c r="Q59" s="18">
        <v>0</v>
      </c>
      <c r="R59" s="18">
        <v>3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20">
        <f t="shared" si="4"/>
        <v>3</v>
      </c>
      <c r="AD59" s="13" t="s">
        <v>52</v>
      </c>
      <c r="AE59" s="13">
        <v>500</v>
      </c>
      <c r="AG59" s="16" t="s">
        <v>102</v>
      </c>
      <c r="AI59" s="13" t="s">
        <v>42</v>
      </c>
      <c r="AJ59" s="14" t="s">
        <v>103</v>
      </c>
      <c r="AK59" s="15" t="s">
        <v>104</v>
      </c>
    </row>
    <row r="60" spans="1:37">
      <c r="A60" s="1">
        <v>8</v>
      </c>
      <c r="B60" s="16" t="s">
        <v>101</v>
      </c>
      <c r="C60" s="13" t="s">
        <v>41</v>
      </c>
      <c r="D60" s="14">
        <v>2009</v>
      </c>
      <c r="E60" s="21">
        <v>7.22</v>
      </c>
      <c r="F60" s="15">
        <v>1</v>
      </c>
      <c r="G60" s="16" t="s">
        <v>349</v>
      </c>
      <c r="H60" s="14" t="s">
        <v>553</v>
      </c>
      <c r="I60" s="13" t="s">
        <v>25</v>
      </c>
      <c r="J60" s="13">
        <v>0</v>
      </c>
      <c r="K60" s="16">
        <v>4</v>
      </c>
      <c r="L60" s="13">
        <f t="shared" si="0"/>
        <v>4</v>
      </c>
      <c r="M60" s="13">
        <v>0</v>
      </c>
      <c r="N60" s="13">
        <f t="shared" si="1"/>
        <v>0</v>
      </c>
      <c r="O60" s="13">
        <f t="shared" si="2"/>
        <v>4</v>
      </c>
      <c r="P60" s="13">
        <f t="shared" si="3"/>
        <v>4</v>
      </c>
      <c r="Q60" s="18">
        <v>1</v>
      </c>
      <c r="R60" s="18">
        <v>1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20">
        <f t="shared" si="4"/>
        <v>2</v>
      </c>
      <c r="AD60" s="13" t="s">
        <v>110</v>
      </c>
      <c r="AE60" s="13" t="s">
        <v>111</v>
      </c>
      <c r="AG60" s="16" t="s">
        <v>102</v>
      </c>
      <c r="AI60" s="13" t="s">
        <v>42</v>
      </c>
      <c r="AJ60" s="14" t="s">
        <v>103</v>
      </c>
      <c r="AK60" s="15" t="s">
        <v>112</v>
      </c>
    </row>
    <row r="61" spans="1:37">
      <c r="A61" s="1">
        <v>9</v>
      </c>
      <c r="B61" s="16" t="s">
        <v>101</v>
      </c>
      <c r="C61" s="13" t="s">
        <v>41</v>
      </c>
      <c r="D61" s="14">
        <v>2009</v>
      </c>
      <c r="E61" s="21">
        <v>7.24</v>
      </c>
      <c r="F61" s="15">
        <v>1</v>
      </c>
      <c r="G61" s="16" t="s">
        <v>350</v>
      </c>
      <c r="H61" s="14" t="s">
        <v>554</v>
      </c>
      <c r="I61" s="13" t="s">
        <v>25</v>
      </c>
      <c r="J61" s="13">
        <v>0</v>
      </c>
      <c r="K61" s="16">
        <v>1</v>
      </c>
      <c r="L61" s="13">
        <f t="shared" si="0"/>
        <v>1</v>
      </c>
      <c r="M61" s="13">
        <v>0</v>
      </c>
      <c r="N61" s="13">
        <f t="shared" si="1"/>
        <v>0</v>
      </c>
      <c r="O61" s="13">
        <f t="shared" si="2"/>
        <v>1</v>
      </c>
      <c r="P61" s="13">
        <f t="shared" si="3"/>
        <v>1</v>
      </c>
      <c r="Q61" s="18">
        <v>0</v>
      </c>
      <c r="R61" s="18">
        <v>1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20">
        <f t="shared" si="4"/>
        <v>1</v>
      </c>
      <c r="AD61" s="13" t="s">
        <v>75</v>
      </c>
      <c r="AE61" s="13">
        <v>120</v>
      </c>
      <c r="AG61" s="16" t="s">
        <v>102</v>
      </c>
      <c r="AI61" s="13" t="s">
        <v>42</v>
      </c>
      <c r="AJ61" s="14" t="s">
        <v>103</v>
      </c>
      <c r="AK61" s="15" t="s">
        <v>113</v>
      </c>
    </row>
    <row r="62" spans="1:37">
      <c r="A62" s="1">
        <v>10</v>
      </c>
      <c r="B62" s="16" t="s">
        <v>101</v>
      </c>
      <c r="C62" s="13" t="s">
        <v>41</v>
      </c>
      <c r="D62" s="14">
        <v>2009</v>
      </c>
      <c r="E62" s="21">
        <v>7.26</v>
      </c>
      <c r="F62" s="15">
        <v>1</v>
      </c>
      <c r="G62" s="16" t="s">
        <v>351</v>
      </c>
      <c r="H62" s="14" t="s">
        <v>555</v>
      </c>
      <c r="I62" s="13" t="s">
        <v>25</v>
      </c>
      <c r="J62" s="13">
        <v>0</v>
      </c>
      <c r="K62" s="16">
        <v>5</v>
      </c>
      <c r="L62" s="13">
        <f t="shared" si="0"/>
        <v>5</v>
      </c>
      <c r="M62" s="13">
        <v>0</v>
      </c>
      <c r="N62" s="13">
        <f t="shared" si="1"/>
        <v>0</v>
      </c>
      <c r="O62" s="13">
        <f t="shared" si="2"/>
        <v>5</v>
      </c>
      <c r="P62" s="13">
        <f t="shared" si="3"/>
        <v>5</v>
      </c>
      <c r="Q62" s="18">
        <v>1</v>
      </c>
      <c r="R62" s="18">
        <v>1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20">
        <f t="shared" si="4"/>
        <v>2</v>
      </c>
      <c r="AD62" s="13" t="s">
        <v>75</v>
      </c>
      <c r="AE62" s="13">
        <v>3000</v>
      </c>
      <c r="AG62" s="16" t="s">
        <v>102</v>
      </c>
      <c r="AI62" s="13" t="s">
        <v>42</v>
      </c>
      <c r="AJ62" s="14" t="s">
        <v>103</v>
      </c>
      <c r="AK62" s="15" t="s">
        <v>114</v>
      </c>
    </row>
    <row r="63" spans="1:37">
      <c r="A63" s="1">
        <v>11</v>
      </c>
      <c r="B63" s="16" t="s">
        <v>101</v>
      </c>
      <c r="C63" s="13" t="s">
        <v>41</v>
      </c>
      <c r="D63" s="14">
        <v>2009</v>
      </c>
      <c r="E63" s="21">
        <v>7.32</v>
      </c>
      <c r="F63" s="15">
        <v>1</v>
      </c>
      <c r="G63" s="16" t="s">
        <v>352</v>
      </c>
      <c r="H63" s="14" t="s">
        <v>556</v>
      </c>
      <c r="I63" s="13" t="s">
        <v>25</v>
      </c>
      <c r="J63" s="13">
        <v>0</v>
      </c>
      <c r="K63" s="16">
        <v>6</v>
      </c>
      <c r="L63" s="13">
        <f t="shared" si="0"/>
        <v>6</v>
      </c>
      <c r="M63" s="13">
        <v>0</v>
      </c>
      <c r="N63" s="13">
        <f t="shared" si="1"/>
        <v>0</v>
      </c>
      <c r="O63" s="13">
        <f t="shared" si="2"/>
        <v>6</v>
      </c>
      <c r="P63" s="13">
        <f t="shared" si="3"/>
        <v>6</v>
      </c>
      <c r="Q63" s="18">
        <v>1</v>
      </c>
      <c r="R63" s="18">
        <v>1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20">
        <f t="shared" si="4"/>
        <v>2</v>
      </c>
      <c r="AE63" s="13" t="s">
        <v>115</v>
      </c>
      <c r="AG63" s="16" t="s">
        <v>102</v>
      </c>
      <c r="AI63" s="13" t="s">
        <v>42</v>
      </c>
      <c r="AJ63" s="14" t="s">
        <v>116</v>
      </c>
      <c r="AK63" s="15" t="s">
        <v>117</v>
      </c>
    </row>
    <row r="64" spans="1:37">
      <c r="A64" s="1">
        <v>12</v>
      </c>
      <c r="B64" s="16" t="s">
        <v>101</v>
      </c>
      <c r="C64" s="13" t="s">
        <v>41</v>
      </c>
      <c r="D64" s="14">
        <v>2009</v>
      </c>
      <c r="E64" s="21">
        <v>7.33</v>
      </c>
      <c r="F64" s="15">
        <v>1</v>
      </c>
      <c r="G64" s="16" t="s">
        <v>353</v>
      </c>
      <c r="H64" s="14" t="s">
        <v>557</v>
      </c>
      <c r="I64" s="13" t="s">
        <v>25</v>
      </c>
      <c r="J64" s="13">
        <v>0</v>
      </c>
      <c r="K64" s="16">
        <v>3</v>
      </c>
      <c r="L64" s="13">
        <f t="shared" si="0"/>
        <v>3</v>
      </c>
      <c r="M64" s="13">
        <v>0</v>
      </c>
      <c r="N64" s="13">
        <f t="shared" si="1"/>
        <v>0</v>
      </c>
      <c r="O64" s="13">
        <f t="shared" si="2"/>
        <v>3</v>
      </c>
      <c r="P64" s="13">
        <f t="shared" si="3"/>
        <v>3</v>
      </c>
      <c r="Q64" s="18">
        <v>1</v>
      </c>
      <c r="R64" s="18">
        <v>0</v>
      </c>
      <c r="S64" s="18">
        <v>0</v>
      </c>
      <c r="T64" s="18">
        <v>0</v>
      </c>
      <c r="U64" s="18">
        <v>0</v>
      </c>
      <c r="V64" s="18">
        <v>1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20">
        <f t="shared" si="4"/>
        <v>2</v>
      </c>
      <c r="AD64" s="13" t="s">
        <v>75</v>
      </c>
      <c r="AE64" s="13">
        <v>120</v>
      </c>
      <c r="AF64" s="14" t="s">
        <v>65</v>
      </c>
      <c r="AG64" s="16" t="s">
        <v>102</v>
      </c>
      <c r="AI64" s="13" t="s">
        <v>42</v>
      </c>
      <c r="AJ64" s="14" t="s">
        <v>116</v>
      </c>
      <c r="AK64" s="15" t="s">
        <v>118</v>
      </c>
    </row>
    <row r="65" spans="1:37">
      <c r="A65" s="1">
        <v>13</v>
      </c>
      <c r="B65" s="16" t="s">
        <v>101</v>
      </c>
      <c r="C65" s="13" t="s">
        <v>41</v>
      </c>
      <c r="D65" s="14">
        <v>2009</v>
      </c>
      <c r="E65" s="21">
        <v>7.4</v>
      </c>
      <c r="F65" s="15">
        <v>1</v>
      </c>
      <c r="G65" s="16" t="s">
        <v>354</v>
      </c>
      <c r="H65" s="14" t="s">
        <v>558</v>
      </c>
      <c r="I65" s="13" t="s">
        <v>25</v>
      </c>
      <c r="J65" s="13">
        <v>0</v>
      </c>
      <c r="K65" s="16">
        <v>4</v>
      </c>
      <c r="L65" s="13">
        <f t="shared" si="0"/>
        <v>4</v>
      </c>
      <c r="M65" s="13">
        <v>0</v>
      </c>
      <c r="N65" s="13">
        <f t="shared" si="1"/>
        <v>0</v>
      </c>
      <c r="O65" s="13">
        <f t="shared" si="2"/>
        <v>4</v>
      </c>
      <c r="P65" s="13">
        <f t="shared" si="3"/>
        <v>4</v>
      </c>
      <c r="Q65" s="18">
        <v>0</v>
      </c>
      <c r="R65" s="18">
        <v>4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20">
        <f t="shared" si="4"/>
        <v>4</v>
      </c>
      <c r="AD65" s="13" t="s">
        <v>26</v>
      </c>
      <c r="AE65" s="13">
        <v>300</v>
      </c>
      <c r="AG65" s="16" t="s">
        <v>102</v>
      </c>
      <c r="AI65" s="13" t="s">
        <v>42</v>
      </c>
      <c r="AJ65" s="14" t="s">
        <v>116</v>
      </c>
      <c r="AK65" s="15" t="s">
        <v>119</v>
      </c>
    </row>
    <row r="66" spans="1:37">
      <c r="A66" s="1">
        <v>14</v>
      </c>
      <c r="B66" s="16" t="s">
        <v>101</v>
      </c>
      <c r="C66" s="13" t="s">
        <v>41</v>
      </c>
      <c r="D66" s="14">
        <v>2009</v>
      </c>
      <c r="E66" s="21">
        <v>7.42</v>
      </c>
      <c r="F66" s="15">
        <v>1</v>
      </c>
      <c r="G66" s="16" t="s">
        <v>355</v>
      </c>
      <c r="H66" s="14" t="s">
        <v>559</v>
      </c>
      <c r="I66" s="13" t="s">
        <v>25</v>
      </c>
      <c r="J66" s="13">
        <v>0</v>
      </c>
      <c r="K66" s="16">
        <v>14</v>
      </c>
      <c r="L66" s="13">
        <f t="shared" si="0"/>
        <v>14</v>
      </c>
      <c r="M66" s="13">
        <v>3</v>
      </c>
      <c r="N66" s="13">
        <f t="shared" si="1"/>
        <v>3</v>
      </c>
      <c r="O66" s="13">
        <f t="shared" si="2"/>
        <v>17</v>
      </c>
      <c r="P66" s="13">
        <f t="shared" si="3"/>
        <v>17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17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20">
        <f t="shared" si="4"/>
        <v>17</v>
      </c>
      <c r="AG66" s="16" t="s">
        <v>102</v>
      </c>
      <c r="AI66" s="13" t="s">
        <v>42</v>
      </c>
      <c r="AJ66" s="14" t="s">
        <v>116</v>
      </c>
      <c r="AK66" s="15" t="s">
        <v>120</v>
      </c>
    </row>
    <row r="67" spans="1:37">
      <c r="A67" s="1">
        <v>15</v>
      </c>
      <c r="B67" s="16" t="s">
        <v>101</v>
      </c>
      <c r="C67" s="13" t="s">
        <v>41</v>
      </c>
      <c r="D67" s="14">
        <v>2009</v>
      </c>
      <c r="E67" s="21">
        <v>7.5</v>
      </c>
      <c r="F67" s="15">
        <v>1</v>
      </c>
      <c r="G67" s="16" t="s">
        <v>356</v>
      </c>
      <c r="H67" s="14" t="s">
        <v>560</v>
      </c>
      <c r="I67" s="13" t="s">
        <v>25</v>
      </c>
      <c r="J67" s="13">
        <v>0</v>
      </c>
      <c r="K67" s="16">
        <v>2</v>
      </c>
      <c r="L67" s="13">
        <f t="shared" si="0"/>
        <v>2</v>
      </c>
      <c r="M67" s="13">
        <v>0</v>
      </c>
      <c r="N67" s="13">
        <f t="shared" si="1"/>
        <v>0</v>
      </c>
      <c r="O67" s="13">
        <f t="shared" si="2"/>
        <v>2</v>
      </c>
      <c r="P67" s="13">
        <f t="shared" si="3"/>
        <v>2</v>
      </c>
      <c r="Q67" s="18">
        <v>1</v>
      </c>
      <c r="R67" s="18">
        <v>1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20">
        <f t="shared" si="4"/>
        <v>2</v>
      </c>
      <c r="AD67" s="13" t="s">
        <v>52</v>
      </c>
      <c r="AE67" s="13">
        <v>800</v>
      </c>
      <c r="AG67" s="16" t="s">
        <v>102</v>
      </c>
      <c r="AI67" s="13" t="s">
        <v>42</v>
      </c>
      <c r="AJ67" s="14" t="s">
        <v>116</v>
      </c>
      <c r="AK67" s="15" t="s">
        <v>121</v>
      </c>
    </row>
    <row r="68" spans="1:37">
      <c r="A68" s="1">
        <v>16</v>
      </c>
      <c r="B68" s="16" t="s">
        <v>101</v>
      </c>
      <c r="C68" s="13" t="s">
        <v>41</v>
      </c>
      <c r="D68" s="14">
        <v>2009</v>
      </c>
      <c r="E68" s="21">
        <v>7.56</v>
      </c>
      <c r="F68" s="15">
        <v>1</v>
      </c>
      <c r="G68" s="16" t="s">
        <v>357</v>
      </c>
      <c r="H68" s="14" t="s">
        <v>561</v>
      </c>
      <c r="I68" s="13" t="s">
        <v>25</v>
      </c>
      <c r="J68" s="13">
        <v>0</v>
      </c>
      <c r="K68" s="16">
        <v>4</v>
      </c>
      <c r="L68" s="13">
        <f t="shared" ref="L68:L131" si="5">K68/F68</f>
        <v>4</v>
      </c>
      <c r="M68" s="13">
        <v>0</v>
      </c>
      <c r="N68" s="13">
        <f t="shared" ref="N68:N131" si="6">M68/F68</f>
        <v>0</v>
      </c>
      <c r="O68" s="13">
        <f t="shared" ref="O68:O131" si="7">K68+M68</f>
        <v>4</v>
      </c>
      <c r="P68" s="13">
        <f t="shared" ref="P68:P131" si="8">O68/F68</f>
        <v>4</v>
      </c>
      <c r="Q68" s="18">
        <v>1</v>
      </c>
      <c r="R68" s="18">
        <v>1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20">
        <f t="shared" ref="AC68:AC131" si="9">Q68+R68+S68+T68+U68+V68+W68+X68+Y68+Z68+AB68+AA68</f>
        <v>2</v>
      </c>
      <c r="AD68" s="13" t="s">
        <v>75</v>
      </c>
      <c r="AE68" s="13">
        <v>250</v>
      </c>
      <c r="AG68" s="16" t="s">
        <v>102</v>
      </c>
      <c r="AI68" s="13" t="s">
        <v>42</v>
      </c>
      <c r="AJ68" s="14" t="s">
        <v>116</v>
      </c>
      <c r="AK68" s="15" t="s">
        <v>122</v>
      </c>
    </row>
    <row r="69" spans="1:37">
      <c r="A69" s="1">
        <v>17</v>
      </c>
      <c r="B69" s="16" t="s">
        <v>101</v>
      </c>
      <c r="C69" s="13" t="s">
        <v>41</v>
      </c>
      <c r="D69" s="14">
        <v>2009</v>
      </c>
      <c r="E69" s="21">
        <v>8.01</v>
      </c>
      <c r="F69" s="15">
        <v>1</v>
      </c>
      <c r="G69" s="16" t="s">
        <v>358</v>
      </c>
      <c r="H69" s="14" t="s">
        <v>562</v>
      </c>
      <c r="I69" s="13" t="s">
        <v>25</v>
      </c>
      <c r="J69" s="13">
        <v>0</v>
      </c>
      <c r="K69" s="16">
        <v>5</v>
      </c>
      <c r="L69" s="13">
        <f t="shared" si="5"/>
        <v>5</v>
      </c>
      <c r="M69" s="13">
        <v>0</v>
      </c>
      <c r="N69" s="13">
        <f t="shared" si="6"/>
        <v>0</v>
      </c>
      <c r="O69" s="13">
        <f t="shared" si="7"/>
        <v>5</v>
      </c>
      <c r="P69" s="13">
        <f t="shared" si="8"/>
        <v>5</v>
      </c>
      <c r="Q69" s="18">
        <v>1</v>
      </c>
      <c r="R69" s="18">
        <v>1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20">
        <f t="shared" si="9"/>
        <v>2</v>
      </c>
      <c r="AD69" s="13" t="s">
        <v>123</v>
      </c>
      <c r="AE69" s="13" t="s">
        <v>123</v>
      </c>
      <c r="AG69" s="16" t="s">
        <v>102</v>
      </c>
      <c r="AI69" s="13" t="s">
        <v>42</v>
      </c>
      <c r="AJ69" s="14" t="s">
        <v>116</v>
      </c>
      <c r="AK69" s="15" t="s">
        <v>124</v>
      </c>
    </row>
    <row r="70" spans="1:37">
      <c r="A70" s="1">
        <v>18</v>
      </c>
      <c r="B70" s="16" t="s">
        <v>101</v>
      </c>
      <c r="C70" s="13" t="s">
        <v>41</v>
      </c>
      <c r="D70" s="14">
        <v>2009</v>
      </c>
      <c r="E70" s="21">
        <v>8.06</v>
      </c>
      <c r="F70" s="15">
        <v>1</v>
      </c>
      <c r="G70" s="16" t="s">
        <v>359</v>
      </c>
      <c r="H70" s="14" t="s">
        <v>563</v>
      </c>
      <c r="I70" s="13" t="s">
        <v>25</v>
      </c>
      <c r="J70" s="13">
        <v>0</v>
      </c>
      <c r="K70" s="16">
        <v>2</v>
      </c>
      <c r="L70" s="13">
        <f t="shared" si="5"/>
        <v>2</v>
      </c>
      <c r="M70" s="13">
        <v>1</v>
      </c>
      <c r="N70" s="13">
        <f t="shared" si="6"/>
        <v>1</v>
      </c>
      <c r="O70" s="13">
        <f t="shared" si="7"/>
        <v>3</v>
      </c>
      <c r="P70" s="13">
        <f t="shared" si="8"/>
        <v>3</v>
      </c>
      <c r="Q70" s="18">
        <v>1</v>
      </c>
      <c r="R70" s="18">
        <v>1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20">
        <f t="shared" si="9"/>
        <v>2</v>
      </c>
      <c r="AE70" s="13">
        <v>12000</v>
      </c>
      <c r="AG70" s="16" t="s">
        <v>102</v>
      </c>
      <c r="AI70" s="13" t="s">
        <v>42</v>
      </c>
      <c r="AJ70" s="14" t="s">
        <v>116</v>
      </c>
      <c r="AK70" s="15" t="s">
        <v>125</v>
      </c>
    </row>
    <row r="71" spans="1:37">
      <c r="A71" s="1">
        <v>19</v>
      </c>
      <c r="B71" s="16" t="s">
        <v>101</v>
      </c>
      <c r="C71" s="13" t="s">
        <v>41</v>
      </c>
      <c r="D71" s="14">
        <v>2009</v>
      </c>
      <c r="E71" s="21">
        <v>8.08</v>
      </c>
      <c r="F71" s="15">
        <v>1</v>
      </c>
      <c r="G71" s="16" t="s">
        <v>360</v>
      </c>
      <c r="H71" s="14" t="s">
        <v>564</v>
      </c>
      <c r="I71" s="13" t="s">
        <v>25</v>
      </c>
      <c r="J71" s="13">
        <v>0</v>
      </c>
      <c r="K71" s="16">
        <v>3</v>
      </c>
      <c r="L71" s="13">
        <f t="shared" si="5"/>
        <v>3</v>
      </c>
      <c r="M71" s="13">
        <v>0</v>
      </c>
      <c r="N71" s="13">
        <f t="shared" si="6"/>
        <v>0</v>
      </c>
      <c r="O71" s="13">
        <f t="shared" si="7"/>
        <v>3</v>
      </c>
      <c r="P71" s="13">
        <f t="shared" si="8"/>
        <v>3</v>
      </c>
      <c r="Q71" s="18">
        <v>1</v>
      </c>
      <c r="R71" s="18">
        <v>1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20">
        <f t="shared" si="9"/>
        <v>2</v>
      </c>
      <c r="AD71" s="13" t="s">
        <v>52</v>
      </c>
      <c r="AE71" s="13">
        <v>2000</v>
      </c>
      <c r="AG71" s="16" t="s">
        <v>102</v>
      </c>
      <c r="AI71" s="13" t="s">
        <v>42</v>
      </c>
      <c r="AJ71" s="14" t="s">
        <v>116</v>
      </c>
      <c r="AK71" s="15" t="s">
        <v>127</v>
      </c>
    </row>
    <row r="72" spans="1:37">
      <c r="A72" s="1">
        <v>20</v>
      </c>
      <c r="B72" s="16" t="s">
        <v>101</v>
      </c>
      <c r="C72" s="13" t="s">
        <v>41</v>
      </c>
      <c r="D72" s="14">
        <v>2009</v>
      </c>
      <c r="E72" s="21">
        <v>8.1</v>
      </c>
      <c r="F72" s="15">
        <v>1</v>
      </c>
      <c r="G72" s="16" t="s">
        <v>361</v>
      </c>
      <c r="H72" s="14" t="s">
        <v>565</v>
      </c>
      <c r="I72" s="13" t="s">
        <v>25</v>
      </c>
      <c r="J72" s="13">
        <v>0</v>
      </c>
      <c r="K72" s="16">
        <v>3</v>
      </c>
      <c r="L72" s="13">
        <f t="shared" si="5"/>
        <v>3</v>
      </c>
      <c r="M72" s="13">
        <v>0</v>
      </c>
      <c r="N72" s="13">
        <f t="shared" si="6"/>
        <v>0</v>
      </c>
      <c r="O72" s="13">
        <f t="shared" si="7"/>
        <v>3</v>
      </c>
      <c r="P72" s="13">
        <f t="shared" si="8"/>
        <v>3</v>
      </c>
      <c r="Q72" s="18">
        <v>1</v>
      </c>
      <c r="R72" s="18">
        <v>1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20">
        <f t="shared" si="9"/>
        <v>2</v>
      </c>
      <c r="AD72" s="13" t="s">
        <v>75</v>
      </c>
      <c r="AE72" s="13" t="s">
        <v>126</v>
      </c>
      <c r="AG72" s="16" t="s">
        <v>102</v>
      </c>
      <c r="AI72" s="13" t="s">
        <v>42</v>
      </c>
      <c r="AJ72" s="14" t="s">
        <v>116</v>
      </c>
      <c r="AK72" s="15" t="s">
        <v>128</v>
      </c>
    </row>
    <row r="73" spans="1:37">
      <c r="A73" s="1">
        <v>21</v>
      </c>
      <c r="B73" s="16" t="s">
        <v>101</v>
      </c>
      <c r="C73" s="13" t="s">
        <v>41</v>
      </c>
      <c r="D73" s="14">
        <v>2009</v>
      </c>
      <c r="E73" s="21">
        <v>8.17</v>
      </c>
      <c r="F73" s="15">
        <v>1</v>
      </c>
      <c r="G73" s="16" t="s">
        <v>362</v>
      </c>
      <c r="H73" s="14" t="s">
        <v>566</v>
      </c>
      <c r="I73" s="13" t="s">
        <v>25</v>
      </c>
      <c r="J73" s="13">
        <v>0</v>
      </c>
      <c r="K73" s="16">
        <v>3</v>
      </c>
      <c r="L73" s="13">
        <f t="shared" si="5"/>
        <v>3</v>
      </c>
      <c r="M73" s="13">
        <v>0</v>
      </c>
      <c r="N73" s="13">
        <f t="shared" si="6"/>
        <v>0</v>
      </c>
      <c r="O73" s="13">
        <f t="shared" si="7"/>
        <v>3</v>
      </c>
      <c r="P73" s="13">
        <f t="shared" si="8"/>
        <v>3</v>
      </c>
      <c r="Q73" s="18">
        <v>1</v>
      </c>
      <c r="R73" s="18">
        <v>1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20">
        <f t="shared" si="9"/>
        <v>2</v>
      </c>
      <c r="AE73" s="13" t="s">
        <v>115</v>
      </c>
      <c r="AG73" s="16" t="s">
        <v>102</v>
      </c>
      <c r="AI73" s="13" t="s">
        <v>42</v>
      </c>
      <c r="AJ73" s="14" t="s">
        <v>129</v>
      </c>
      <c r="AK73" s="15" t="s">
        <v>130</v>
      </c>
    </row>
    <row r="74" spans="1:37">
      <c r="A74" s="1">
        <v>22</v>
      </c>
      <c r="B74" s="16" t="s">
        <v>101</v>
      </c>
      <c r="C74" s="13" t="s">
        <v>41</v>
      </c>
      <c r="D74" s="14">
        <v>2009</v>
      </c>
      <c r="E74" s="21">
        <v>8.24</v>
      </c>
      <c r="F74" s="15">
        <v>1</v>
      </c>
      <c r="G74" s="16" t="s">
        <v>363</v>
      </c>
      <c r="H74" s="14" t="s">
        <v>567</v>
      </c>
      <c r="I74" s="13" t="s">
        <v>25</v>
      </c>
      <c r="J74" s="13">
        <v>0</v>
      </c>
      <c r="K74" s="16">
        <v>3</v>
      </c>
      <c r="L74" s="13">
        <f t="shared" si="5"/>
        <v>3</v>
      </c>
      <c r="M74" s="13">
        <v>0</v>
      </c>
      <c r="N74" s="13">
        <f t="shared" si="6"/>
        <v>0</v>
      </c>
      <c r="O74" s="13">
        <f t="shared" si="7"/>
        <v>3</v>
      </c>
      <c r="P74" s="13">
        <f t="shared" si="8"/>
        <v>3</v>
      </c>
      <c r="Q74" s="18">
        <v>1</v>
      </c>
      <c r="R74" s="18">
        <v>1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20">
        <f t="shared" si="9"/>
        <v>2</v>
      </c>
      <c r="AD74" s="13" t="s">
        <v>75</v>
      </c>
      <c r="AE74" s="13">
        <v>2000</v>
      </c>
      <c r="AG74" s="16" t="s">
        <v>102</v>
      </c>
      <c r="AI74" s="13" t="s">
        <v>42</v>
      </c>
      <c r="AJ74" s="14" t="s">
        <v>129</v>
      </c>
      <c r="AK74" s="15" t="s">
        <v>131</v>
      </c>
    </row>
    <row r="75" spans="1:37">
      <c r="A75" s="1">
        <v>23</v>
      </c>
      <c r="B75" s="16" t="s">
        <v>101</v>
      </c>
      <c r="C75" s="13" t="s">
        <v>41</v>
      </c>
      <c r="D75" s="14">
        <v>2009</v>
      </c>
      <c r="E75" s="21">
        <v>8.27</v>
      </c>
      <c r="F75" s="15">
        <v>1</v>
      </c>
      <c r="G75" s="16" t="s">
        <v>364</v>
      </c>
      <c r="H75" s="14" t="s">
        <v>710</v>
      </c>
      <c r="I75" s="13" t="s">
        <v>25</v>
      </c>
      <c r="J75" s="13">
        <v>0</v>
      </c>
      <c r="K75" s="16">
        <v>3</v>
      </c>
      <c r="L75" s="13">
        <f t="shared" si="5"/>
        <v>3</v>
      </c>
      <c r="M75" s="13">
        <v>0</v>
      </c>
      <c r="N75" s="13">
        <f t="shared" si="6"/>
        <v>0</v>
      </c>
      <c r="O75" s="13">
        <f t="shared" si="7"/>
        <v>3</v>
      </c>
      <c r="P75" s="13">
        <f t="shared" si="8"/>
        <v>3</v>
      </c>
      <c r="Q75" s="18">
        <v>3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20">
        <f t="shared" si="9"/>
        <v>3</v>
      </c>
      <c r="AD75" s="13" t="s">
        <v>26</v>
      </c>
      <c r="AE75" s="13">
        <v>3000</v>
      </c>
      <c r="AG75" s="16" t="s">
        <v>102</v>
      </c>
      <c r="AI75" s="13" t="s">
        <v>42</v>
      </c>
      <c r="AJ75" s="14" t="s">
        <v>129</v>
      </c>
      <c r="AK75" s="15" t="s">
        <v>132</v>
      </c>
    </row>
    <row r="76" spans="1:37">
      <c r="A76" s="1">
        <v>24</v>
      </c>
      <c r="B76" s="16" t="s">
        <v>101</v>
      </c>
      <c r="C76" s="13" t="s">
        <v>41</v>
      </c>
      <c r="D76" s="14">
        <v>2009</v>
      </c>
      <c r="E76" s="21">
        <v>8.3000000000000007</v>
      </c>
      <c r="F76" s="15">
        <v>1</v>
      </c>
      <c r="G76" s="16" t="s">
        <v>365</v>
      </c>
      <c r="H76" s="14" t="s">
        <v>568</v>
      </c>
      <c r="I76" s="13" t="s">
        <v>25</v>
      </c>
      <c r="J76" s="13">
        <v>0</v>
      </c>
      <c r="K76" s="16">
        <v>2</v>
      </c>
      <c r="L76" s="13">
        <f t="shared" si="5"/>
        <v>2</v>
      </c>
      <c r="M76" s="13">
        <v>0</v>
      </c>
      <c r="N76" s="13">
        <f t="shared" si="6"/>
        <v>0</v>
      </c>
      <c r="O76" s="13">
        <f t="shared" si="7"/>
        <v>2</v>
      </c>
      <c r="P76" s="13">
        <f t="shared" si="8"/>
        <v>2</v>
      </c>
      <c r="Q76" s="18">
        <v>2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20">
        <f t="shared" si="9"/>
        <v>2</v>
      </c>
      <c r="AD76" s="13" t="s">
        <v>75</v>
      </c>
      <c r="AE76" s="13">
        <v>2000</v>
      </c>
      <c r="AG76" s="16" t="s">
        <v>102</v>
      </c>
      <c r="AI76" s="13" t="s">
        <v>42</v>
      </c>
      <c r="AJ76" s="14" t="s">
        <v>129</v>
      </c>
      <c r="AK76" s="15" t="s">
        <v>133</v>
      </c>
    </row>
    <row r="77" spans="1:37">
      <c r="A77" s="1">
        <v>25</v>
      </c>
      <c r="B77" s="16" t="s">
        <v>101</v>
      </c>
      <c r="C77" s="13" t="s">
        <v>41</v>
      </c>
      <c r="D77" s="14">
        <v>2009</v>
      </c>
      <c r="E77" s="21">
        <v>8.34</v>
      </c>
      <c r="F77" s="15">
        <v>1</v>
      </c>
      <c r="G77" s="16" t="s">
        <v>366</v>
      </c>
      <c r="H77" s="14" t="s">
        <v>569</v>
      </c>
      <c r="I77" s="13" t="s">
        <v>25</v>
      </c>
      <c r="J77" s="13">
        <v>0</v>
      </c>
      <c r="K77" s="16">
        <v>1</v>
      </c>
      <c r="L77" s="13">
        <f t="shared" si="5"/>
        <v>1</v>
      </c>
      <c r="M77" s="13">
        <v>0</v>
      </c>
      <c r="N77" s="13">
        <f t="shared" si="6"/>
        <v>0</v>
      </c>
      <c r="O77" s="13">
        <f t="shared" si="7"/>
        <v>1</v>
      </c>
      <c r="P77" s="13">
        <f t="shared" si="8"/>
        <v>1</v>
      </c>
      <c r="Q77" s="18">
        <v>1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20">
        <f t="shared" si="9"/>
        <v>1</v>
      </c>
      <c r="AD77" s="13" t="s">
        <v>26</v>
      </c>
      <c r="AE77" s="13">
        <v>3000</v>
      </c>
      <c r="AG77" s="16" t="s">
        <v>102</v>
      </c>
      <c r="AI77" s="13" t="s">
        <v>42</v>
      </c>
      <c r="AJ77" s="14" t="s">
        <v>129</v>
      </c>
      <c r="AK77" s="15" t="s">
        <v>134</v>
      </c>
    </row>
    <row r="78" spans="1:37">
      <c r="A78" s="1">
        <v>26</v>
      </c>
      <c r="B78" s="16" t="s">
        <v>101</v>
      </c>
      <c r="C78" s="13" t="s">
        <v>41</v>
      </c>
      <c r="D78" s="14">
        <v>2009</v>
      </c>
      <c r="E78" s="21">
        <v>8.4</v>
      </c>
      <c r="F78" s="15">
        <v>1</v>
      </c>
      <c r="G78" s="16" t="s">
        <v>367</v>
      </c>
      <c r="H78" s="14" t="s">
        <v>570</v>
      </c>
      <c r="I78" s="13" t="s">
        <v>25</v>
      </c>
      <c r="J78" s="13">
        <v>0</v>
      </c>
      <c r="K78" s="16">
        <v>1</v>
      </c>
      <c r="L78" s="13">
        <f t="shared" si="5"/>
        <v>1</v>
      </c>
      <c r="M78" s="13">
        <v>0</v>
      </c>
      <c r="N78" s="13">
        <f t="shared" si="6"/>
        <v>0</v>
      </c>
      <c r="O78" s="13">
        <f t="shared" si="7"/>
        <v>1</v>
      </c>
      <c r="P78" s="13">
        <f t="shared" si="8"/>
        <v>1</v>
      </c>
      <c r="Q78" s="18">
        <v>1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20">
        <f t="shared" si="9"/>
        <v>1</v>
      </c>
      <c r="AD78" s="13" t="s">
        <v>52</v>
      </c>
      <c r="AE78" s="13">
        <v>4000</v>
      </c>
      <c r="AG78" s="16" t="s">
        <v>102</v>
      </c>
      <c r="AI78" s="13" t="s">
        <v>42</v>
      </c>
      <c r="AJ78" s="14" t="s">
        <v>129</v>
      </c>
      <c r="AK78" s="15" t="s">
        <v>135</v>
      </c>
    </row>
    <row r="79" spans="1:37">
      <c r="A79" s="1">
        <v>27</v>
      </c>
      <c r="B79" s="16" t="s">
        <v>101</v>
      </c>
      <c r="C79" s="13" t="s">
        <v>41</v>
      </c>
      <c r="D79" s="14">
        <v>2009</v>
      </c>
      <c r="E79" s="21">
        <v>8.43</v>
      </c>
      <c r="F79" s="15">
        <v>1</v>
      </c>
      <c r="G79" s="16" t="s">
        <v>368</v>
      </c>
      <c r="H79" s="14" t="s">
        <v>571</v>
      </c>
      <c r="I79" s="13" t="s">
        <v>25</v>
      </c>
      <c r="J79" s="13">
        <v>0</v>
      </c>
      <c r="K79" s="16">
        <v>4</v>
      </c>
      <c r="L79" s="13">
        <f t="shared" si="5"/>
        <v>4</v>
      </c>
      <c r="M79" s="13">
        <v>1</v>
      </c>
      <c r="N79" s="13">
        <f t="shared" si="6"/>
        <v>1</v>
      </c>
      <c r="O79" s="13">
        <f t="shared" si="7"/>
        <v>5</v>
      </c>
      <c r="P79" s="13">
        <f t="shared" si="8"/>
        <v>5</v>
      </c>
      <c r="Q79" s="18">
        <v>1</v>
      </c>
      <c r="R79" s="18">
        <v>0</v>
      </c>
      <c r="S79" s="18">
        <v>0</v>
      </c>
      <c r="T79" s="18">
        <v>0</v>
      </c>
      <c r="U79" s="18">
        <v>1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20">
        <f t="shared" si="9"/>
        <v>2</v>
      </c>
      <c r="AD79" s="13" t="s">
        <v>26</v>
      </c>
      <c r="AE79" s="13">
        <v>1700</v>
      </c>
      <c r="AG79" s="16" t="s">
        <v>102</v>
      </c>
      <c r="AI79" s="13" t="s">
        <v>42</v>
      </c>
      <c r="AJ79" s="14" t="s">
        <v>129</v>
      </c>
      <c r="AK79" s="15" t="s">
        <v>136</v>
      </c>
    </row>
    <row r="80" spans="1:37">
      <c r="A80" s="1">
        <v>28</v>
      </c>
      <c r="B80" s="16" t="s">
        <v>101</v>
      </c>
      <c r="C80" s="13" t="s">
        <v>41</v>
      </c>
      <c r="D80" s="14">
        <v>2009</v>
      </c>
      <c r="E80" s="21">
        <v>8.5399999999999991</v>
      </c>
      <c r="F80" s="15">
        <v>1</v>
      </c>
      <c r="G80" s="16" t="s">
        <v>369</v>
      </c>
      <c r="H80" s="14" t="s">
        <v>572</v>
      </c>
      <c r="I80" s="13" t="s">
        <v>25</v>
      </c>
      <c r="J80" s="13">
        <v>0</v>
      </c>
      <c r="K80" s="16">
        <v>2</v>
      </c>
      <c r="L80" s="13">
        <f t="shared" si="5"/>
        <v>2</v>
      </c>
      <c r="M80" s="13">
        <v>0</v>
      </c>
      <c r="N80" s="13">
        <f t="shared" si="6"/>
        <v>0</v>
      </c>
      <c r="O80" s="13">
        <f t="shared" si="7"/>
        <v>2</v>
      </c>
      <c r="P80" s="13">
        <f t="shared" si="8"/>
        <v>2</v>
      </c>
      <c r="Q80" s="18">
        <v>0</v>
      </c>
      <c r="R80" s="18">
        <v>2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20">
        <f t="shared" si="9"/>
        <v>2</v>
      </c>
      <c r="AD80" s="13" t="s">
        <v>26</v>
      </c>
      <c r="AE80" s="13">
        <v>1000</v>
      </c>
      <c r="AG80" s="16" t="s">
        <v>102</v>
      </c>
      <c r="AI80" s="13" t="s">
        <v>42</v>
      </c>
      <c r="AJ80" s="14" t="s">
        <v>129</v>
      </c>
      <c r="AK80" s="15" t="s">
        <v>137</v>
      </c>
    </row>
    <row r="81" spans="1:37">
      <c r="A81" s="1">
        <v>29</v>
      </c>
      <c r="B81" s="16" t="s">
        <v>101</v>
      </c>
      <c r="C81" s="13" t="s">
        <v>41</v>
      </c>
      <c r="D81" s="14">
        <v>2009</v>
      </c>
      <c r="E81" s="21">
        <v>9.0299999999999994</v>
      </c>
      <c r="F81" s="15">
        <v>1</v>
      </c>
      <c r="G81" s="16" t="s">
        <v>370</v>
      </c>
      <c r="H81" s="14" t="s">
        <v>573</v>
      </c>
      <c r="I81" s="13" t="s">
        <v>25</v>
      </c>
      <c r="J81" s="13">
        <v>0</v>
      </c>
      <c r="K81" s="16">
        <v>1</v>
      </c>
      <c r="L81" s="13">
        <f t="shared" si="5"/>
        <v>1</v>
      </c>
      <c r="M81" s="13">
        <v>0</v>
      </c>
      <c r="N81" s="13">
        <f t="shared" si="6"/>
        <v>0</v>
      </c>
      <c r="O81" s="13">
        <f t="shared" si="7"/>
        <v>1</v>
      </c>
      <c r="P81" s="13">
        <f t="shared" si="8"/>
        <v>1</v>
      </c>
      <c r="Q81" s="18">
        <v>0</v>
      </c>
      <c r="R81" s="18">
        <v>1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20">
        <f t="shared" si="9"/>
        <v>1</v>
      </c>
      <c r="AD81" s="13" t="s">
        <v>52</v>
      </c>
      <c r="AE81" s="13">
        <v>350</v>
      </c>
      <c r="AG81" s="16" t="s">
        <v>102</v>
      </c>
      <c r="AI81" s="13" t="s">
        <v>42</v>
      </c>
      <c r="AJ81" s="14" t="s">
        <v>129</v>
      </c>
      <c r="AK81" s="15" t="s">
        <v>138</v>
      </c>
    </row>
    <row r="82" spans="1:37">
      <c r="A82" s="1">
        <v>30</v>
      </c>
      <c r="B82" s="16" t="s">
        <v>101</v>
      </c>
      <c r="C82" s="13" t="s">
        <v>41</v>
      </c>
      <c r="D82" s="14">
        <v>2009</v>
      </c>
      <c r="E82" s="21">
        <v>9.1199999999999992</v>
      </c>
      <c r="F82" s="15">
        <v>1</v>
      </c>
      <c r="G82" s="16" t="s">
        <v>371</v>
      </c>
      <c r="H82" s="14" t="s">
        <v>574</v>
      </c>
      <c r="I82" s="13" t="s">
        <v>25</v>
      </c>
      <c r="J82" s="13">
        <v>0</v>
      </c>
      <c r="K82" s="16">
        <v>1</v>
      </c>
      <c r="L82" s="13">
        <f t="shared" si="5"/>
        <v>1</v>
      </c>
      <c r="M82" s="13">
        <v>0</v>
      </c>
      <c r="N82" s="13">
        <f t="shared" si="6"/>
        <v>0</v>
      </c>
      <c r="O82" s="13">
        <f t="shared" si="7"/>
        <v>1</v>
      </c>
      <c r="P82" s="13">
        <f t="shared" si="8"/>
        <v>1</v>
      </c>
      <c r="Q82" s="18">
        <v>1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20">
        <f t="shared" si="9"/>
        <v>1</v>
      </c>
      <c r="AD82" s="13" t="s">
        <v>75</v>
      </c>
      <c r="AE82" s="13">
        <v>900</v>
      </c>
      <c r="AG82" s="16" t="s">
        <v>102</v>
      </c>
      <c r="AI82" s="13" t="s">
        <v>42</v>
      </c>
      <c r="AJ82" s="14" t="s">
        <v>129</v>
      </c>
      <c r="AK82" s="15" t="s">
        <v>139</v>
      </c>
    </row>
    <row r="83" spans="1:37">
      <c r="A83" s="1">
        <v>31</v>
      </c>
      <c r="B83" s="16" t="s">
        <v>101</v>
      </c>
      <c r="C83" s="13" t="s">
        <v>41</v>
      </c>
      <c r="D83" s="14">
        <v>2009</v>
      </c>
      <c r="E83" s="21">
        <v>9.17</v>
      </c>
      <c r="F83" s="15">
        <v>1</v>
      </c>
      <c r="G83" s="16" t="s">
        <v>372</v>
      </c>
      <c r="H83" s="14" t="s">
        <v>575</v>
      </c>
      <c r="I83" s="13" t="s">
        <v>25</v>
      </c>
      <c r="J83" s="13">
        <v>0</v>
      </c>
      <c r="K83" s="16">
        <v>4</v>
      </c>
      <c r="L83" s="13">
        <f t="shared" si="5"/>
        <v>4</v>
      </c>
      <c r="M83" s="13">
        <v>0</v>
      </c>
      <c r="N83" s="13">
        <f t="shared" si="6"/>
        <v>0</v>
      </c>
      <c r="O83" s="13">
        <f t="shared" si="7"/>
        <v>4</v>
      </c>
      <c r="P83" s="13">
        <f t="shared" si="8"/>
        <v>4</v>
      </c>
      <c r="Q83" s="18">
        <v>1</v>
      </c>
      <c r="R83" s="18">
        <v>1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20">
        <f t="shared" si="9"/>
        <v>2</v>
      </c>
      <c r="AE83" s="13" t="s">
        <v>140</v>
      </c>
      <c r="AG83" s="16" t="s">
        <v>102</v>
      </c>
      <c r="AI83" s="13" t="s">
        <v>42</v>
      </c>
      <c r="AJ83" s="14" t="s">
        <v>129</v>
      </c>
      <c r="AK83" s="15" t="s">
        <v>141</v>
      </c>
    </row>
    <row r="84" spans="1:37">
      <c r="A84" s="1">
        <v>32</v>
      </c>
      <c r="B84" s="16" t="s">
        <v>101</v>
      </c>
      <c r="C84" s="13" t="s">
        <v>41</v>
      </c>
      <c r="D84" s="14">
        <v>2009</v>
      </c>
      <c r="E84" s="21">
        <v>9.2899999999999991</v>
      </c>
      <c r="F84" s="15">
        <v>1</v>
      </c>
      <c r="G84" s="16" t="s">
        <v>373</v>
      </c>
      <c r="H84" s="14" t="s">
        <v>576</v>
      </c>
      <c r="I84" s="13" t="s">
        <v>25</v>
      </c>
      <c r="J84" s="13">
        <v>0</v>
      </c>
      <c r="K84" s="16">
        <v>1</v>
      </c>
      <c r="L84" s="13">
        <f t="shared" si="5"/>
        <v>1</v>
      </c>
      <c r="M84" s="13">
        <v>0</v>
      </c>
      <c r="N84" s="13">
        <f t="shared" si="6"/>
        <v>0</v>
      </c>
      <c r="O84" s="13">
        <f t="shared" si="7"/>
        <v>1</v>
      </c>
      <c r="P84" s="13">
        <f t="shared" si="8"/>
        <v>1</v>
      </c>
      <c r="Q84" s="18">
        <v>0</v>
      </c>
      <c r="R84" s="18">
        <v>1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20">
        <f t="shared" si="9"/>
        <v>1</v>
      </c>
      <c r="AD84" s="13" t="s">
        <v>77</v>
      </c>
      <c r="AE84" s="13">
        <v>1000</v>
      </c>
      <c r="AG84" s="16" t="s">
        <v>102</v>
      </c>
      <c r="AI84" s="13" t="s">
        <v>42</v>
      </c>
      <c r="AJ84" s="14" t="s">
        <v>129</v>
      </c>
      <c r="AK84" s="15" t="s">
        <v>142</v>
      </c>
    </row>
    <row r="85" spans="1:37">
      <c r="A85" s="1">
        <v>33</v>
      </c>
      <c r="B85" s="16" t="s">
        <v>101</v>
      </c>
      <c r="C85" s="13" t="s">
        <v>41</v>
      </c>
      <c r="D85" s="14">
        <v>2009</v>
      </c>
      <c r="E85" s="21">
        <v>9.48</v>
      </c>
      <c r="F85" s="15">
        <v>1</v>
      </c>
      <c r="G85" s="16" t="s">
        <v>374</v>
      </c>
      <c r="H85" s="14" t="s">
        <v>577</v>
      </c>
      <c r="I85" s="13" t="s">
        <v>25</v>
      </c>
      <c r="J85" s="13">
        <v>0</v>
      </c>
      <c r="K85" s="16">
        <v>2</v>
      </c>
      <c r="L85" s="13">
        <f t="shared" si="5"/>
        <v>2</v>
      </c>
      <c r="M85" s="13">
        <v>0</v>
      </c>
      <c r="N85" s="13">
        <f t="shared" si="6"/>
        <v>0</v>
      </c>
      <c r="O85" s="13">
        <f t="shared" si="7"/>
        <v>2</v>
      </c>
      <c r="P85" s="13">
        <f t="shared" si="8"/>
        <v>2</v>
      </c>
      <c r="Q85" s="18">
        <v>2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20">
        <f t="shared" si="9"/>
        <v>2</v>
      </c>
      <c r="AD85" s="13" t="s">
        <v>52</v>
      </c>
      <c r="AE85" s="13">
        <v>2000</v>
      </c>
      <c r="AG85" s="16" t="s">
        <v>102</v>
      </c>
      <c r="AI85" s="13" t="s">
        <v>42</v>
      </c>
      <c r="AJ85" s="14" t="s">
        <v>129</v>
      </c>
      <c r="AK85" s="15" t="s">
        <v>143</v>
      </c>
    </row>
    <row r="86" spans="1:37">
      <c r="A86" s="1">
        <v>34</v>
      </c>
      <c r="B86" s="16" t="s">
        <v>101</v>
      </c>
      <c r="C86" s="13" t="s">
        <v>41</v>
      </c>
      <c r="D86" s="14">
        <v>2009</v>
      </c>
      <c r="E86" s="21">
        <v>10</v>
      </c>
      <c r="F86" s="15">
        <v>1</v>
      </c>
      <c r="G86" s="16" t="s">
        <v>375</v>
      </c>
      <c r="H86" s="14" t="s">
        <v>578</v>
      </c>
      <c r="I86" s="13" t="s">
        <v>25</v>
      </c>
      <c r="J86" s="13">
        <v>0</v>
      </c>
      <c r="K86" s="16">
        <v>1</v>
      </c>
      <c r="L86" s="13">
        <f t="shared" si="5"/>
        <v>1</v>
      </c>
      <c r="M86" s="13">
        <v>0</v>
      </c>
      <c r="N86" s="13">
        <f t="shared" si="6"/>
        <v>0</v>
      </c>
      <c r="O86" s="13">
        <f t="shared" si="7"/>
        <v>1</v>
      </c>
      <c r="P86" s="13">
        <f t="shared" si="8"/>
        <v>1</v>
      </c>
      <c r="Q86" s="18">
        <v>0</v>
      </c>
      <c r="R86" s="18">
        <v>1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20">
        <f t="shared" si="9"/>
        <v>1</v>
      </c>
      <c r="AD86" s="13" t="s">
        <v>75</v>
      </c>
      <c r="AE86" s="13">
        <v>3000</v>
      </c>
      <c r="AG86" s="16" t="s">
        <v>102</v>
      </c>
      <c r="AI86" s="13" t="s">
        <v>42</v>
      </c>
      <c r="AJ86" s="14" t="s">
        <v>129</v>
      </c>
      <c r="AK86" s="15" t="s">
        <v>144</v>
      </c>
    </row>
    <row r="87" spans="1:37">
      <c r="A87" s="1">
        <v>35</v>
      </c>
      <c r="B87" s="16" t="s">
        <v>101</v>
      </c>
      <c r="C87" s="13" t="s">
        <v>41</v>
      </c>
      <c r="D87" s="14">
        <v>2009</v>
      </c>
      <c r="E87" s="21">
        <v>10.47</v>
      </c>
      <c r="F87" s="15">
        <v>1</v>
      </c>
      <c r="G87" s="16" t="s">
        <v>376</v>
      </c>
      <c r="H87" s="14" t="s">
        <v>579</v>
      </c>
      <c r="I87" s="13" t="s">
        <v>25</v>
      </c>
      <c r="J87" s="13">
        <v>0</v>
      </c>
      <c r="K87" s="16">
        <v>1</v>
      </c>
      <c r="L87" s="13">
        <f t="shared" si="5"/>
        <v>1</v>
      </c>
      <c r="M87" s="13">
        <v>0</v>
      </c>
      <c r="N87" s="13">
        <f t="shared" si="6"/>
        <v>0</v>
      </c>
      <c r="O87" s="13">
        <f t="shared" si="7"/>
        <v>1</v>
      </c>
      <c r="P87" s="13">
        <f t="shared" si="8"/>
        <v>1</v>
      </c>
      <c r="Q87" s="18">
        <v>1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20">
        <f t="shared" si="9"/>
        <v>1</v>
      </c>
      <c r="AD87" s="13" t="s">
        <v>77</v>
      </c>
      <c r="AE87" s="13">
        <v>3000</v>
      </c>
      <c r="AG87" s="16" t="s">
        <v>102</v>
      </c>
      <c r="AI87" s="13" t="s">
        <v>42</v>
      </c>
      <c r="AJ87" s="14" t="s">
        <v>129</v>
      </c>
      <c r="AK87" s="15" t="s">
        <v>145</v>
      </c>
    </row>
    <row r="88" spans="1:37">
      <c r="A88" s="1">
        <v>36</v>
      </c>
      <c r="B88" s="16" t="s">
        <v>101</v>
      </c>
      <c r="C88" s="13" t="s">
        <v>41</v>
      </c>
      <c r="D88" s="14">
        <v>2009</v>
      </c>
      <c r="E88" s="21">
        <v>11</v>
      </c>
      <c r="F88" s="15">
        <v>1</v>
      </c>
      <c r="G88" s="16" t="s">
        <v>377</v>
      </c>
      <c r="H88" s="14" t="s">
        <v>580</v>
      </c>
      <c r="I88" s="13" t="s">
        <v>25</v>
      </c>
      <c r="J88" s="13">
        <v>0</v>
      </c>
      <c r="K88" s="16">
        <v>1</v>
      </c>
      <c r="L88" s="13">
        <f t="shared" si="5"/>
        <v>1</v>
      </c>
      <c r="M88" s="13">
        <v>0</v>
      </c>
      <c r="N88" s="13">
        <f t="shared" si="6"/>
        <v>0</v>
      </c>
      <c r="O88" s="13">
        <f t="shared" si="7"/>
        <v>1</v>
      </c>
      <c r="P88" s="13">
        <f t="shared" si="8"/>
        <v>1</v>
      </c>
      <c r="Q88" s="18">
        <v>0</v>
      </c>
      <c r="R88" s="18">
        <v>0</v>
      </c>
      <c r="S88" s="18">
        <v>0</v>
      </c>
      <c r="T88" s="18">
        <v>0</v>
      </c>
      <c r="U88" s="18">
        <v>1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20">
        <f t="shared" si="9"/>
        <v>1</v>
      </c>
      <c r="AD88" s="13" t="s">
        <v>26</v>
      </c>
      <c r="AE88" s="13">
        <v>800</v>
      </c>
      <c r="AG88" s="16" t="s">
        <v>102</v>
      </c>
      <c r="AI88" s="13" t="s">
        <v>42</v>
      </c>
      <c r="AJ88" s="14" t="s">
        <v>129</v>
      </c>
      <c r="AK88" s="15" t="s">
        <v>146</v>
      </c>
    </row>
    <row r="89" spans="1:37">
      <c r="A89" s="1">
        <v>37</v>
      </c>
      <c r="B89" s="16" t="s">
        <v>101</v>
      </c>
      <c r="C89" s="13" t="s">
        <v>41</v>
      </c>
      <c r="D89" s="14">
        <v>2009</v>
      </c>
      <c r="E89" s="21">
        <v>11.08</v>
      </c>
      <c r="F89" s="15">
        <v>1</v>
      </c>
      <c r="G89" s="16" t="s">
        <v>378</v>
      </c>
      <c r="H89" s="14" t="s">
        <v>581</v>
      </c>
      <c r="I89" s="13" t="s">
        <v>25</v>
      </c>
      <c r="J89" s="13">
        <v>0</v>
      </c>
      <c r="K89" s="16">
        <v>1</v>
      </c>
      <c r="L89" s="13">
        <f t="shared" si="5"/>
        <v>1</v>
      </c>
      <c r="M89" s="13">
        <v>0</v>
      </c>
      <c r="N89" s="13">
        <f t="shared" si="6"/>
        <v>0</v>
      </c>
      <c r="O89" s="13">
        <f t="shared" si="7"/>
        <v>1</v>
      </c>
      <c r="P89" s="13">
        <f t="shared" si="8"/>
        <v>1</v>
      </c>
      <c r="Q89" s="18">
        <v>0</v>
      </c>
      <c r="R89" s="18">
        <v>1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20">
        <f t="shared" si="9"/>
        <v>1</v>
      </c>
      <c r="AD89" s="13" t="s">
        <v>46</v>
      </c>
      <c r="AE89" s="13">
        <v>30</v>
      </c>
      <c r="AF89" s="14" t="s">
        <v>65</v>
      </c>
      <c r="AG89" s="16" t="s">
        <v>102</v>
      </c>
      <c r="AI89" s="13" t="s">
        <v>42</v>
      </c>
      <c r="AJ89" s="14" t="s">
        <v>129</v>
      </c>
      <c r="AK89" s="15" t="s">
        <v>147</v>
      </c>
    </row>
    <row r="90" spans="1:37">
      <c r="A90" s="1">
        <v>38</v>
      </c>
      <c r="B90" s="16" t="s">
        <v>101</v>
      </c>
      <c r="C90" s="13" t="s">
        <v>41</v>
      </c>
      <c r="D90" s="14">
        <v>2009</v>
      </c>
      <c r="E90" s="21">
        <v>11.1</v>
      </c>
      <c r="F90" s="15">
        <v>1</v>
      </c>
      <c r="G90" s="16" t="s">
        <v>379</v>
      </c>
      <c r="H90" s="14" t="s">
        <v>582</v>
      </c>
      <c r="I90" s="13" t="s">
        <v>25</v>
      </c>
      <c r="J90" s="13">
        <v>0</v>
      </c>
      <c r="K90" s="16">
        <v>1</v>
      </c>
      <c r="L90" s="13">
        <f t="shared" si="5"/>
        <v>1</v>
      </c>
      <c r="M90" s="13">
        <v>0</v>
      </c>
      <c r="N90" s="13">
        <f t="shared" si="6"/>
        <v>0</v>
      </c>
      <c r="O90" s="13">
        <f t="shared" si="7"/>
        <v>1</v>
      </c>
      <c r="P90" s="13">
        <f t="shared" si="8"/>
        <v>1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1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20">
        <f t="shared" si="9"/>
        <v>1</v>
      </c>
      <c r="AD90" s="13" t="s">
        <v>46</v>
      </c>
      <c r="AE90" s="13">
        <v>400</v>
      </c>
      <c r="AG90" s="16" t="s">
        <v>102</v>
      </c>
      <c r="AI90" s="13" t="s">
        <v>42</v>
      </c>
      <c r="AJ90" s="14" t="s">
        <v>129</v>
      </c>
      <c r="AK90" s="15" t="s">
        <v>148</v>
      </c>
    </row>
    <row r="91" spans="1:37">
      <c r="A91" s="1">
        <v>39</v>
      </c>
      <c r="B91" s="16" t="s">
        <v>101</v>
      </c>
      <c r="C91" s="13" t="s">
        <v>41</v>
      </c>
      <c r="D91" s="14">
        <v>2009</v>
      </c>
      <c r="E91" s="21">
        <v>11.28</v>
      </c>
      <c r="F91" s="15">
        <v>1</v>
      </c>
      <c r="G91" s="16" t="s">
        <v>380</v>
      </c>
      <c r="H91" s="14" t="s">
        <v>583</v>
      </c>
      <c r="I91" s="13" t="s">
        <v>25</v>
      </c>
      <c r="J91" s="13">
        <v>0</v>
      </c>
      <c r="K91" s="16">
        <v>2</v>
      </c>
      <c r="L91" s="13">
        <f t="shared" si="5"/>
        <v>2</v>
      </c>
      <c r="M91" s="13">
        <v>0</v>
      </c>
      <c r="N91" s="13">
        <f t="shared" si="6"/>
        <v>0</v>
      </c>
      <c r="O91" s="13">
        <f t="shared" si="7"/>
        <v>2</v>
      </c>
      <c r="P91" s="13">
        <f t="shared" si="8"/>
        <v>2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2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20">
        <f t="shared" si="9"/>
        <v>2</v>
      </c>
      <c r="AD91" s="13" t="s">
        <v>149</v>
      </c>
      <c r="AE91" s="13">
        <v>1500</v>
      </c>
      <c r="AG91" s="16" t="s">
        <v>102</v>
      </c>
      <c r="AI91" s="13" t="s">
        <v>42</v>
      </c>
      <c r="AJ91" s="14" t="s">
        <v>129</v>
      </c>
      <c r="AK91" s="15" t="s">
        <v>150</v>
      </c>
    </row>
    <row r="92" spans="1:37">
      <c r="A92" s="1">
        <v>40</v>
      </c>
      <c r="B92" s="16" t="s">
        <v>101</v>
      </c>
      <c r="C92" s="13" t="s">
        <v>41</v>
      </c>
      <c r="D92" s="14">
        <v>2009</v>
      </c>
      <c r="E92" s="21">
        <v>11.45</v>
      </c>
      <c r="F92" s="15">
        <v>1</v>
      </c>
      <c r="G92" s="16" t="s">
        <v>381</v>
      </c>
      <c r="H92" s="14" t="s">
        <v>584</v>
      </c>
      <c r="I92" s="13" t="s">
        <v>25</v>
      </c>
      <c r="J92" s="13">
        <v>0</v>
      </c>
      <c r="K92" s="16">
        <v>1</v>
      </c>
      <c r="L92" s="13">
        <f t="shared" si="5"/>
        <v>1</v>
      </c>
      <c r="M92" s="13">
        <v>0</v>
      </c>
      <c r="N92" s="13">
        <f t="shared" si="6"/>
        <v>0</v>
      </c>
      <c r="O92" s="13">
        <f t="shared" si="7"/>
        <v>1</v>
      </c>
      <c r="P92" s="13">
        <f t="shared" si="8"/>
        <v>1</v>
      </c>
      <c r="Q92" s="18">
        <v>0</v>
      </c>
      <c r="R92" s="18">
        <v>0</v>
      </c>
      <c r="S92" s="18">
        <v>0</v>
      </c>
      <c r="T92" s="18">
        <v>0</v>
      </c>
      <c r="U92" s="18">
        <v>1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20">
        <f t="shared" si="9"/>
        <v>1</v>
      </c>
      <c r="AD92" s="13" t="s">
        <v>149</v>
      </c>
      <c r="AE92" s="13">
        <v>150</v>
      </c>
      <c r="AG92" s="16" t="s">
        <v>102</v>
      </c>
      <c r="AI92" s="13" t="s">
        <v>42</v>
      </c>
      <c r="AJ92" s="14" t="s">
        <v>129</v>
      </c>
      <c r="AK92" s="15" t="s">
        <v>151</v>
      </c>
    </row>
    <row r="93" spans="1:37">
      <c r="A93" s="1">
        <v>41</v>
      </c>
      <c r="B93" s="16" t="s">
        <v>101</v>
      </c>
      <c r="C93" s="13" t="s">
        <v>41</v>
      </c>
      <c r="D93" s="14">
        <v>2009</v>
      </c>
      <c r="E93" s="21">
        <v>11.47</v>
      </c>
      <c r="F93" s="15">
        <v>1</v>
      </c>
      <c r="G93" s="16" t="s">
        <v>382</v>
      </c>
      <c r="H93" s="14" t="s">
        <v>711</v>
      </c>
      <c r="I93" s="13" t="s">
        <v>25</v>
      </c>
      <c r="J93" s="13">
        <v>0</v>
      </c>
      <c r="K93" s="16">
        <v>2</v>
      </c>
      <c r="L93" s="13">
        <f t="shared" si="5"/>
        <v>2</v>
      </c>
      <c r="M93" s="13">
        <v>0</v>
      </c>
      <c r="N93" s="13">
        <f t="shared" si="6"/>
        <v>0</v>
      </c>
      <c r="O93" s="13">
        <f t="shared" si="7"/>
        <v>2</v>
      </c>
      <c r="P93" s="13">
        <f t="shared" si="8"/>
        <v>2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2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20">
        <f t="shared" si="9"/>
        <v>2</v>
      </c>
      <c r="AD93" s="13" t="s">
        <v>149</v>
      </c>
      <c r="AE93" s="13">
        <v>180</v>
      </c>
      <c r="AG93" s="16" t="s">
        <v>152</v>
      </c>
      <c r="AI93" s="13" t="s">
        <v>42</v>
      </c>
      <c r="AJ93" s="14" t="s">
        <v>153</v>
      </c>
      <c r="AK93" s="15" t="s">
        <v>154</v>
      </c>
    </row>
    <row r="94" spans="1:37">
      <c r="A94" s="1">
        <v>42</v>
      </c>
      <c r="B94" s="16" t="s">
        <v>101</v>
      </c>
      <c r="C94" s="13" t="s">
        <v>41</v>
      </c>
      <c r="D94" s="14">
        <v>2009</v>
      </c>
      <c r="E94" s="21">
        <v>12.05</v>
      </c>
      <c r="F94" s="15">
        <v>1</v>
      </c>
      <c r="G94" s="16" t="s">
        <v>383</v>
      </c>
      <c r="H94" s="14" t="s">
        <v>585</v>
      </c>
      <c r="I94" s="13" t="s">
        <v>25</v>
      </c>
      <c r="J94" s="13">
        <v>0</v>
      </c>
      <c r="K94" s="16">
        <v>2</v>
      </c>
      <c r="L94" s="13">
        <f t="shared" si="5"/>
        <v>2</v>
      </c>
      <c r="M94" s="13">
        <v>0</v>
      </c>
      <c r="N94" s="13">
        <f t="shared" si="6"/>
        <v>0</v>
      </c>
      <c r="O94" s="13">
        <f t="shared" si="7"/>
        <v>2</v>
      </c>
      <c r="P94" s="13">
        <f t="shared" si="8"/>
        <v>2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2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20">
        <f t="shared" si="9"/>
        <v>2</v>
      </c>
      <c r="AD94" s="13" t="s">
        <v>46</v>
      </c>
      <c r="AE94" s="13">
        <v>350</v>
      </c>
      <c r="AG94" s="16" t="s">
        <v>152</v>
      </c>
      <c r="AI94" s="13" t="s">
        <v>42</v>
      </c>
      <c r="AJ94" s="14" t="s">
        <v>153</v>
      </c>
      <c r="AK94" s="15" t="s">
        <v>155</v>
      </c>
    </row>
    <row r="95" spans="1:37">
      <c r="A95" s="1">
        <v>43</v>
      </c>
      <c r="B95" s="16" t="s">
        <v>101</v>
      </c>
      <c r="C95" s="13" t="s">
        <v>41</v>
      </c>
      <c r="D95" s="14">
        <v>2009</v>
      </c>
      <c r="E95" s="21">
        <v>12.17</v>
      </c>
      <c r="F95" s="15">
        <v>1</v>
      </c>
      <c r="G95" s="16" t="s">
        <v>384</v>
      </c>
      <c r="H95" s="14" t="s">
        <v>586</v>
      </c>
      <c r="I95" s="13" t="s">
        <v>25</v>
      </c>
      <c r="J95" s="13">
        <v>0</v>
      </c>
      <c r="K95" s="16">
        <v>2</v>
      </c>
      <c r="L95" s="13">
        <f t="shared" si="5"/>
        <v>2</v>
      </c>
      <c r="M95" s="13">
        <v>0</v>
      </c>
      <c r="N95" s="13">
        <f t="shared" si="6"/>
        <v>0</v>
      </c>
      <c r="O95" s="13">
        <f t="shared" si="7"/>
        <v>2</v>
      </c>
      <c r="P95" s="13">
        <f t="shared" si="8"/>
        <v>2</v>
      </c>
      <c r="Q95" s="18">
        <v>0</v>
      </c>
      <c r="R95" s="18">
        <v>0</v>
      </c>
      <c r="S95" s="18">
        <v>0</v>
      </c>
      <c r="T95" s="18">
        <v>0</v>
      </c>
      <c r="U95" s="18">
        <v>2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20">
        <f t="shared" si="9"/>
        <v>2</v>
      </c>
      <c r="AD95" s="13" t="s">
        <v>149</v>
      </c>
      <c r="AE95" s="13">
        <v>500</v>
      </c>
      <c r="AF95" s="14" t="s">
        <v>157</v>
      </c>
      <c r="AG95" s="16" t="s">
        <v>152</v>
      </c>
      <c r="AI95" s="13" t="s">
        <v>42</v>
      </c>
      <c r="AJ95" s="14" t="s">
        <v>153</v>
      </c>
      <c r="AK95" s="15" t="s">
        <v>156</v>
      </c>
    </row>
    <row r="96" spans="1:37">
      <c r="A96" s="1">
        <v>44</v>
      </c>
      <c r="B96" s="16" t="s">
        <v>101</v>
      </c>
      <c r="C96" s="13" t="s">
        <v>41</v>
      </c>
      <c r="D96" s="14">
        <v>2009</v>
      </c>
      <c r="E96" s="21">
        <v>12.35</v>
      </c>
      <c r="F96" s="15">
        <v>1</v>
      </c>
      <c r="G96" s="16" t="s">
        <v>385</v>
      </c>
      <c r="H96" s="14" t="s">
        <v>587</v>
      </c>
      <c r="I96" s="13" t="s">
        <v>25</v>
      </c>
      <c r="J96" s="13" t="s">
        <v>158</v>
      </c>
      <c r="K96" s="16">
        <v>2</v>
      </c>
      <c r="L96" s="13">
        <f t="shared" si="5"/>
        <v>2</v>
      </c>
      <c r="M96" s="13">
        <v>0</v>
      </c>
      <c r="N96" s="13">
        <f t="shared" si="6"/>
        <v>0</v>
      </c>
      <c r="O96" s="13">
        <f t="shared" si="7"/>
        <v>2</v>
      </c>
      <c r="P96" s="13">
        <f t="shared" si="8"/>
        <v>2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2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20">
        <f t="shared" si="9"/>
        <v>2</v>
      </c>
      <c r="AE96" s="13">
        <v>150</v>
      </c>
      <c r="AG96" s="16" t="s">
        <v>152</v>
      </c>
      <c r="AI96" s="13" t="s">
        <v>42</v>
      </c>
      <c r="AJ96" s="14" t="s">
        <v>153</v>
      </c>
      <c r="AK96" s="15" t="s">
        <v>159</v>
      </c>
    </row>
    <row r="97" spans="1:37">
      <c r="A97" s="1">
        <v>45</v>
      </c>
      <c r="B97" s="16" t="s">
        <v>101</v>
      </c>
      <c r="C97" s="13" t="s">
        <v>41</v>
      </c>
      <c r="D97" s="14">
        <v>2009</v>
      </c>
      <c r="E97" s="21">
        <v>12.47</v>
      </c>
      <c r="F97" s="15">
        <v>1</v>
      </c>
      <c r="G97" s="16" t="s">
        <v>386</v>
      </c>
      <c r="H97" s="14" t="s">
        <v>588</v>
      </c>
      <c r="I97" s="13" t="s">
        <v>25</v>
      </c>
      <c r="J97" s="13">
        <v>0</v>
      </c>
      <c r="K97" s="16">
        <v>1</v>
      </c>
      <c r="L97" s="13">
        <f t="shared" si="5"/>
        <v>1</v>
      </c>
      <c r="M97" s="13">
        <v>0</v>
      </c>
      <c r="N97" s="13">
        <f t="shared" si="6"/>
        <v>0</v>
      </c>
      <c r="O97" s="13">
        <f t="shared" si="7"/>
        <v>1</v>
      </c>
      <c r="P97" s="13">
        <f t="shared" si="8"/>
        <v>1</v>
      </c>
      <c r="Q97" s="18">
        <v>0</v>
      </c>
      <c r="R97" s="18">
        <v>0</v>
      </c>
      <c r="S97" s="18">
        <v>0</v>
      </c>
      <c r="T97" s="18">
        <v>0</v>
      </c>
      <c r="U97" s="18">
        <v>1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20">
        <f t="shared" si="9"/>
        <v>1</v>
      </c>
      <c r="AD97" s="13" t="s">
        <v>46</v>
      </c>
      <c r="AE97" s="13">
        <v>300</v>
      </c>
      <c r="AG97" s="16" t="s">
        <v>152</v>
      </c>
      <c r="AI97" s="13" t="s">
        <v>42</v>
      </c>
      <c r="AJ97" s="14" t="s">
        <v>153</v>
      </c>
      <c r="AK97" s="15" t="s">
        <v>160</v>
      </c>
    </row>
    <row r="98" spans="1:37">
      <c r="A98" s="1">
        <v>46</v>
      </c>
      <c r="B98" s="16" t="s">
        <v>101</v>
      </c>
      <c r="C98" s="13" t="s">
        <v>41</v>
      </c>
      <c r="D98" s="14">
        <v>2009</v>
      </c>
      <c r="E98" s="21">
        <v>13.25</v>
      </c>
      <c r="F98" s="15">
        <v>1</v>
      </c>
      <c r="G98" s="16" t="s">
        <v>387</v>
      </c>
      <c r="H98" s="14" t="s">
        <v>589</v>
      </c>
      <c r="I98" s="13" t="s">
        <v>25</v>
      </c>
      <c r="J98" s="13">
        <v>0</v>
      </c>
      <c r="K98" s="16">
        <v>2</v>
      </c>
      <c r="L98" s="13">
        <f t="shared" si="5"/>
        <v>2</v>
      </c>
      <c r="M98" s="13">
        <v>0</v>
      </c>
      <c r="N98" s="13">
        <f t="shared" si="6"/>
        <v>0</v>
      </c>
      <c r="O98" s="13">
        <f t="shared" si="7"/>
        <v>2</v>
      </c>
      <c r="P98" s="13">
        <f t="shared" si="8"/>
        <v>2</v>
      </c>
      <c r="Q98" s="18">
        <v>0</v>
      </c>
      <c r="R98" s="18">
        <v>2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20">
        <f t="shared" si="9"/>
        <v>2</v>
      </c>
      <c r="AD98" s="13" t="s">
        <v>46</v>
      </c>
      <c r="AE98" s="13">
        <v>2000</v>
      </c>
      <c r="AG98" s="16" t="s">
        <v>152</v>
      </c>
      <c r="AI98" s="13" t="s">
        <v>42</v>
      </c>
      <c r="AJ98" s="14" t="s">
        <v>153</v>
      </c>
      <c r="AK98" s="15" t="s">
        <v>161</v>
      </c>
    </row>
    <row r="99" spans="1:37">
      <c r="A99" s="1">
        <v>47</v>
      </c>
      <c r="B99" s="16" t="s">
        <v>101</v>
      </c>
      <c r="C99" s="13" t="s">
        <v>41</v>
      </c>
      <c r="D99" s="14">
        <v>2009</v>
      </c>
      <c r="E99" s="21">
        <v>13.4</v>
      </c>
      <c r="F99" s="15">
        <v>1</v>
      </c>
      <c r="G99" s="16" t="s">
        <v>388</v>
      </c>
      <c r="H99" s="14" t="s">
        <v>590</v>
      </c>
      <c r="I99" s="13" t="s">
        <v>25</v>
      </c>
      <c r="J99" s="13">
        <v>0</v>
      </c>
      <c r="K99" s="16">
        <v>1</v>
      </c>
      <c r="L99" s="13">
        <f t="shared" si="5"/>
        <v>1</v>
      </c>
      <c r="M99" s="13">
        <v>0</v>
      </c>
      <c r="N99" s="13">
        <f t="shared" si="6"/>
        <v>0</v>
      </c>
      <c r="O99" s="13">
        <f t="shared" si="7"/>
        <v>1</v>
      </c>
      <c r="P99" s="13">
        <f t="shared" si="8"/>
        <v>1</v>
      </c>
      <c r="Q99" s="18">
        <v>1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20">
        <f t="shared" si="9"/>
        <v>1</v>
      </c>
      <c r="AD99" s="13" t="s">
        <v>75</v>
      </c>
      <c r="AE99" s="13">
        <v>4000</v>
      </c>
      <c r="AG99" s="16" t="s">
        <v>152</v>
      </c>
      <c r="AI99" s="13" t="s">
        <v>42</v>
      </c>
      <c r="AJ99" s="14" t="s">
        <v>153</v>
      </c>
      <c r="AK99" s="15" t="s">
        <v>162</v>
      </c>
    </row>
    <row r="100" spans="1:37">
      <c r="A100" s="1">
        <v>48</v>
      </c>
      <c r="B100" s="16" t="s">
        <v>101</v>
      </c>
      <c r="C100" s="13" t="s">
        <v>41</v>
      </c>
      <c r="D100" s="14">
        <v>2009</v>
      </c>
      <c r="E100" s="21">
        <v>14.3</v>
      </c>
      <c r="F100" s="15">
        <v>1</v>
      </c>
      <c r="G100" s="16" t="s">
        <v>389</v>
      </c>
      <c r="H100" s="14" t="s">
        <v>590</v>
      </c>
      <c r="I100" s="13" t="s">
        <v>25</v>
      </c>
      <c r="J100" s="13">
        <v>0</v>
      </c>
      <c r="K100" s="16">
        <v>1</v>
      </c>
      <c r="L100" s="13">
        <f t="shared" si="5"/>
        <v>1</v>
      </c>
      <c r="M100" s="13">
        <v>1</v>
      </c>
      <c r="N100" s="13">
        <f t="shared" si="6"/>
        <v>1</v>
      </c>
      <c r="O100" s="13">
        <f t="shared" si="7"/>
        <v>2</v>
      </c>
      <c r="P100" s="13">
        <f t="shared" si="8"/>
        <v>2</v>
      </c>
      <c r="Q100" s="18">
        <v>0</v>
      </c>
      <c r="R100" s="18">
        <v>0</v>
      </c>
      <c r="S100" s="18">
        <v>0</v>
      </c>
      <c r="T100" s="18">
        <v>0</v>
      </c>
      <c r="U100" s="18">
        <v>2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20">
        <f t="shared" si="9"/>
        <v>2</v>
      </c>
      <c r="AD100" s="13" t="s">
        <v>149</v>
      </c>
      <c r="AE100" s="13">
        <v>300</v>
      </c>
      <c r="AG100" s="16" t="s">
        <v>152</v>
      </c>
      <c r="AI100" s="13" t="s">
        <v>42</v>
      </c>
      <c r="AJ100" s="14" t="s">
        <v>153</v>
      </c>
      <c r="AK100" s="15" t="s">
        <v>163</v>
      </c>
    </row>
    <row r="101" spans="1:37" s="23" customFormat="1">
      <c r="A101" s="23">
        <v>1</v>
      </c>
      <c r="B101" s="24" t="s">
        <v>164</v>
      </c>
      <c r="C101" s="25" t="s">
        <v>41</v>
      </c>
      <c r="D101" s="26">
        <v>2009</v>
      </c>
      <c r="E101" s="27">
        <v>6.59</v>
      </c>
      <c r="F101" s="28">
        <v>1</v>
      </c>
      <c r="G101" s="24" t="s">
        <v>390</v>
      </c>
      <c r="H101" s="26" t="s">
        <v>591</v>
      </c>
      <c r="I101" s="25" t="s">
        <v>25</v>
      </c>
      <c r="J101" s="25">
        <v>0</v>
      </c>
      <c r="K101" s="24">
        <v>1</v>
      </c>
      <c r="L101" s="25">
        <f t="shared" si="5"/>
        <v>1</v>
      </c>
      <c r="M101" s="25">
        <v>0</v>
      </c>
      <c r="N101" s="25">
        <f t="shared" si="6"/>
        <v>0</v>
      </c>
      <c r="O101" s="25">
        <f t="shared" si="7"/>
        <v>1</v>
      </c>
      <c r="P101" s="25">
        <f t="shared" si="8"/>
        <v>1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2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f t="shared" si="9"/>
        <v>2</v>
      </c>
      <c r="AD101" s="25" t="s">
        <v>46</v>
      </c>
      <c r="AE101" s="25">
        <v>50</v>
      </c>
      <c r="AF101" s="26" t="s">
        <v>166</v>
      </c>
      <c r="AG101" s="24" t="s">
        <v>167</v>
      </c>
      <c r="AH101" s="25"/>
      <c r="AI101" s="25" t="s">
        <v>42</v>
      </c>
      <c r="AJ101" s="26" t="s">
        <v>168</v>
      </c>
      <c r="AK101" s="28" t="s">
        <v>169</v>
      </c>
    </row>
    <row r="102" spans="1:37">
      <c r="A102" s="1">
        <v>2</v>
      </c>
      <c r="B102" s="16" t="s">
        <v>164</v>
      </c>
      <c r="C102" s="13" t="s">
        <v>41</v>
      </c>
      <c r="D102" s="14">
        <v>2009</v>
      </c>
      <c r="E102" s="21">
        <v>7.03</v>
      </c>
      <c r="F102" s="15">
        <v>1</v>
      </c>
      <c r="G102" s="16" t="s">
        <v>391</v>
      </c>
      <c r="H102" s="14" t="s">
        <v>592</v>
      </c>
      <c r="I102" s="13" t="s">
        <v>25</v>
      </c>
      <c r="J102" s="13">
        <v>0</v>
      </c>
      <c r="K102" s="16">
        <v>1</v>
      </c>
      <c r="L102" s="13">
        <f t="shared" si="5"/>
        <v>1</v>
      </c>
      <c r="M102" s="13">
        <v>1</v>
      </c>
      <c r="N102" s="13">
        <f t="shared" si="6"/>
        <v>1</v>
      </c>
      <c r="O102" s="13">
        <f t="shared" si="7"/>
        <v>2</v>
      </c>
      <c r="P102" s="13">
        <f t="shared" si="8"/>
        <v>2</v>
      </c>
      <c r="AC102" s="20">
        <f t="shared" si="9"/>
        <v>0</v>
      </c>
      <c r="AD102" s="13" t="s">
        <v>170</v>
      </c>
      <c r="AE102" s="13">
        <v>1000</v>
      </c>
      <c r="AG102" s="16" t="s">
        <v>167</v>
      </c>
      <c r="AI102" s="13" t="s">
        <v>42</v>
      </c>
      <c r="AJ102" s="14" t="s">
        <v>168</v>
      </c>
      <c r="AK102" s="15" t="s">
        <v>171</v>
      </c>
    </row>
    <row r="103" spans="1:37">
      <c r="A103" s="1">
        <v>3</v>
      </c>
      <c r="B103" s="16" t="s">
        <v>164</v>
      </c>
      <c r="C103" s="13" t="s">
        <v>41</v>
      </c>
      <c r="D103" s="14">
        <v>2009</v>
      </c>
      <c r="E103" s="21">
        <v>7.09</v>
      </c>
      <c r="F103" s="15">
        <v>1</v>
      </c>
      <c r="G103" s="16" t="s">
        <v>392</v>
      </c>
      <c r="H103" s="14" t="s">
        <v>593</v>
      </c>
      <c r="I103" s="13" t="s">
        <v>25</v>
      </c>
      <c r="J103" s="13">
        <v>0</v>
      </c>
      <c r="K103" s="16">
        <v>1</v>
      </c>
      <c r="L103" s="13">
        <f t="shared" si="5"/>
        <v>1</v>
      </c>
      <c r="M103" s="13">
        <v>1</v>
      </c>
      <c r="N103" s="13">
        <f t="shared" si="6"/>
        <v>1</v>
      </c>
      <c r="O103" s="13">
        <f t="shared" si="7"/>
        <v>2</v>
      </c>
      <c r="P103" s="13">
        <f t="shared" si="8"/>
        <v>2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2</v>
      </c>
      <c r="AB103" s="18">
        <v>0</v>
      </c>
      <c r="AC103" s="20">
        <f t="shared" si="9"/>
        <v>2</v>
      </c>
      <c r="AD103" s="13" t="s">
        <v>170</v>
      </c>
      <c r="AE103" s="13">
        <v>80</v>
      </c>
      <c r="AG103" s="16" t="s">
        <v>167</v>
      </c>
      <c r="AI103" s="13" t="s">
        <v>42</v>
      </c>
      <c r="AJ103" s="14" t="s">
        <v>168</v>
      </c>
      <c r="AK103" s="15" t="s">
        <v>172</v>
      </c>
    </row>
    <row r="104" spans="1:37">
      <c r="A104" s="1">
        <v>4</v>
      </c>
      <c r="B104" s="16" t="s">
        <v>164</v>
      </c>
      <c r="C104" s="13" t="s">
        <v>41</v>
      </c>
      <c r="D104" s="14">
        <v>2009</v>
      </c>
      <c r="E104" s="21">
        <v>7.14</v>
      </c>
      <c r="F104" s="15">
        <v>1</v>
      </c>
      <c r="G104" s="16" t="s">
        <v>393</v>
      </c>
      <c r="H104" s="14" t="s">
        <v>594</v>
      </c>
      <c r="I104" s="13" t="s">
        <v>25</v>
      </c>
      <c r="J104" s="13">
        <v>0</v>
      </c>
      <c r="K104" s="16">
        <v>1</v>
      </c>
      <c r="L104" s="13">
        <f t="shared" si="5"/>
        <v>1</v>
      </c>
      <c r="M104" s="13">
        <v>1</v>
      </c>
      <c r="N104" s="13">
        <f t="shared" si="6"/>
        <v>1</v>
      </c>
      <c r="O104" s="13">
        <f t="shared" si="7"/>
        <v>2</v>
      </c>
      <c r="P104" s="13">
        <f t="shared" si="8"/>
        <v>2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2</v>
      </c>
      <c r="AB104" s="18">
        <v>0</v>
      </c>
      <c r="AC104" s="20">
        <f t="shared" si="9"/>
        <v>2</v>
      </c>
      <c r="AD104" s="13" t="s">
        <v>173</v>
      </c>
      <c r="AE104" s="13">
        <v>100</v>
      </c>
      <c r="AG104" s="16" t="s">
        <v>167</v>
      </c>
      <c r="AI104" s="13" t="s">
        <v>42</v>
      </c>
      <c r="AJ104" s="14" t="s">
        <v>168</v>
      </c>
      <c r="AK104" s="15" t="s">
        <v>174</v>
      </c>
    </row>
    <row r="105" spans="1:37">
      <c r="A105" s="1">
        <v>5</v>
      </c>
      <c r="B105" s="16" t="s">
        <v>164</v>
      </c>
      <c r="C105" s="13" t="s">
        <v>41</v>
      </c>
      <c r="D105" s="14">
        <v>2009</v>
      </c>
      <c r="E105" s="21">
        <v>7.21</v>
      </c>
      <c r="F105" s="15">
        <v>1</v>
      </c>
      <c r="G105" s="16" t="s">
        <v>394</v>
      </c>
      <c r="H105" s="14" t="s">
        <v>595</v>
      </c>
      <c r="I105" s="13" t="s">
        <v>25</v>
      </c>
      <c r="J105" s="13">
        <v>0</v>
      </c>
      <c r="K105" s="16">
        <v>2</v>
      </c>
      <c r="L105" s="13">
        <f t="shared" si="5"/>
        <v>2</v>
      </c>
      <c r="M105" s="13">
        <v>2</v>
      </c>
      <c r="N105" s="13">
        <f t="shared" si="6"/>
        <v>2</v>
      </c>
      <c r="O105" s="13">
        <f t="shared" si="7"/>
        <v>4</v>
      </c>
      <c r="P105" s="13">
        <f t="shared" si="8"/>
        <v>4</v>
      </c>
      <c r="AC105" s="20">
        <f t="shared" si="9"/>
        <v>0</v>
      </c>
      <c r="AD105" s="13" t="s">
        <v>170</v>
      </c>
      <c r="AE105" s="13" t="s">
        <v>175</v>
      </c>
      <c r="AG105" s="16" t="s">
        <v>167</v>
      </c>
      <c r="AI105" s="13" t="s">
        <v>42</v>
      </c>
      <c r="AJ105" s="14" t="s">
        <v>168</v>
      </c>
      <c r="AK105" s="15" t="s">
        <v>176</v>
      </c>
    </row>
    <row r="106" spans="1:37">
      <c r="A106" s="1">
        <v>6</v>
      </c>
      <c r="B106" s="16" t="s">
        <v>164</v>
      </c>
      <c r="C106" s="13" t="s">
        <v>41</v>
      </c>
      <c r="D106" s="14">
        <v>2009</v>
      </c>
      <c r="E106" s="21">
        <v>7.22</v>
      </c>
      <c r="F106" s="15">
        <v>1</v>
      </c>
      <c r="G106" s="16" t="s">
        <v>395</v>
      </c>
      <c r="H106" s="14" t="s">
        <v>596</v>
      </c>
      <c r="I106" s="13" t="s">
        <v>25</v>
      </c>
      <c r="J106" s="13">
        <v>0</v>
      </c>
      <c r="K106" s="16">
        <v>2</v>
      </c>
      <c r="L106" s="13">
        <f t="shared" si="5"/>
        <v>2</v>
      </c>
      <c r="M106" s="13">
        <v>2</v>
      </c>
      <c r="N106" s="13">
        <f t="shared" si="6"/>
        <v>2</v>
      </c>
      <c r="O106" s="13">
        <f t="shared" si="7"/>
        <v>4</v>
      </c>
      <c r="P106" s="13">
        <f t="shared" si="8"/>
        <v>4</v>
      </c>
      <c r="AC106" s="20">
        <f t="shared" si="9"/>
        <v>0</v>
      </c>
      <c r="AD106" s="13" t="s">
        <v>173</v>
      </c>
      <c r="AE106" s="13">
        <v>900</v>
      </c>
      <c r="AG106" s="16" t="s">
        <v>167</v>
      </c>
      <c r="AI106" s="13" t="s">
        <v>42</v>
      </c>
      <c r="AJ106" s="14" t="s">
        <v>168</v>
      </c>
      <c r="AK106" s="15" t="s">
        <v>177</v>
      </c>
    </row>
    <row r="107" spans="1:37">
      <c r="A107" s="1">
        <v>7</v>
      </c>
      <c r="B107" s="16" t="s">
        <v>164</v>
      </c>
      <c r="C107" s="13" t="s">
        <v>41</v>
      </c>
      <c r="D107" s="14">
        <v>2009</v>
      </c>
      <c r="E107" s="21">
        <v>7.28</v>
      </c>
      <c r="F107" s="15">
        <v>1</v>
      </c>
      <c r="G107" s="16" t="s">
        <v>396</v>
      </c>
      <c r="H107" s="14" t="s">
        <v>597</v>
      </c>
      <c r="I107" s="13" t="s">
        <v>25</v>
      </c>
      <c r="J107" s="13">
        <v>0</v>
      </c>
      <c r="K107" s="16">
        <v>1</v>
      </c>
      <c r="L107" s="13">
        <f t="shared" si="5"/>
        <v>1</v>
      </c>
      <c r="M107" s="13">
        <v>0</v>
      </c>
      <c r="N107" s="13">
        <f t="shared" si="6"/>
        <v>0</v>
      </c>
      <c r="O107" s="13">
        <f t="shared" si="7"/>
        <v>1</v>
      </c>
      <c r="P107" s="13">
        <f t="shared" si="8"/>
        <v>1</v>
      </c>
      <c r="Q107" s="18">
        <v>1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20">
        <f t="shared" si="9"/>
        <v>1</v>
      </c>
      <c r="AD107" s="13" t="s">
        <v>170</v>
      </c>
      <c r="AE107" s="13">
        <v>2000</v>
      </c>
      <c r="AG107" s="16" t="s">
        <v>167</v>
      </c>
      <c r="AI107" s="13" t="s">
        <v>42</v>
      </c>
      <c r="AJ107" s="14" t="s">
        <v>168</v>
      </c>
      <c r="AK107" s="15" t="s">
        <v>178</v>
      </c>
    </row>
    <row r="108" spans="1:37">
      <c r="A108" s="1">
        <v>8</v>
      </c>
      <c r="B108" s="16" t="s">
        <v>164</v>
      </c>
      <c r="C108" s="13" t="s">
        <v>41</v>
      </c>
      <c r="D108" s="14">
        <v>2009</v>
      </c>
      <c r="E108" s="21">
        <v>7.3</v>
      </c>
      <c r="F108" s="15">
        <v>1</v>
      </c>
      <c r="G108" s="16" t="s">
        <v>397</v>
      </c>
      <c r="H108" s="14" t="s">
        <v>598</v>
      </c>
      <c r="I108" s="13" t="s">
        <v>25</v>
      </c>
      <c r="J108" s="13">
        <v>0</v>
      </c>
      <c r="K108" s="16">
        <v>1</v>
      </c>
      <c r="L108" s="13">
        <f t="shared" si="5"/>
        <v>1</v>
      </c>
      <c r="M108" s="13">
        <v>1</v>
      </c>
      <c r="N108" s="13">
        <f t="shared" si="6"/>
        <v>1</v>
      </c>
      <c r="O108" s="13">
        <f t="shared" si="7"/>
        <v>2</v>
      </c>
      <c r="P108" s="13">
        <f t="shared" si="8"/>
        <v>2</v>
      </c>
      <c r="Q108" s="18">
        <v>0</v>
      </c>
      <c r="R108" s="18">
        <v>2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20">
        <f t="shared" si="9"/>
        <v>2</v>
      </c>
      <c r="AD108" s="13" t="s">
        <v>170</v>
      </c>
      <c r="AE108" s="13">
        <v>600</v>
      </c>
      <c r="AG108" s="16" t="s">
        <v>167</v>
      </c>
      <c r="AI108" s="13" t="s">
        <v>42</v>
      </c>
      <c r="AJ108" s="14" t="s">
        <v>168</v>
      </c>
      <c r="AK108" s="15" t="s">
        <v>179</v>
      </c>
    </row>
    <row r="109" spans="1:37">
      <c r="A109" s="1">
        <v>9</v>
      </c>
      <c r="B109" s="16" t="s">
        <v>164</v>
      </c>
      <c r="C109" s="13" t="s">
        <v>41</v>
      </c>
      <c r="D109" s="14">
        <v>2009</v>
      </c>
      <c r="E109" s="21">
        <v>7.42</v>
      </c>
      <c r="F109" s="15">
        <v>1</v>
      </c>
      <c r="G109" s="16" t="s">
        <v>398</v>
      </c>
      <c r="H109" s="14" t="s">
        <v>599</v>
      </c>
      <c r="I109" s="13" t="s">
        <v>25</v>
      </c>
      <c r="J109" s="13">
        <v>0</v>
      </c>
      <c r="K109" s="16">
        <v>1</v>
      </c>
      <c r="L109" s="13">
        <f t="shared" si="5"/>
        <v>1</v>
      </c>
      <c r="M109" s="13">
        <v>0</v>
      </c>
      <c r="N109" s="13">
        <f t="shared" si="6"/>
        <v>0</v>
      </c>
      <c r="O109" s="13">
        <f t="shared" si="7"/>
        <v>1</v>
      </c>
      <c r="P109" s="13">
        <f t="shared" si="8"/>
        <v>1</v>
      </c>
      <c r="Q109" s="18">
        <v>0</v>
      </c>
      <c r="R109" s="18">
        <v>1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20">
        <f t="shared" si="9"/>
        <v>1</v>
      </c>
      <c r="AD109" s="13" t="s">
        <v>75</v>
      </c>
      <c r="AE109" s="13">
        <v>1000</v>
      </c>
      <c r="AG109" s="16" t="s">
        <v>167</v>
      </c>
      <c r="AI109" s="13" t="s">
        <v>42</v>
      </c>
      <c r="AJ109" s="14" t="s">
        <v>168</v>
      </c>
      <c r="AK109" s="15" t="s">
        <v>178</v>
      </c>
    </row>
    <row r="110" spans="1:37">
      <c r="A110" s="1">
        <v>10</v>
      </c>
      <c r="B110" s="16" t="s">
        <v>164</v>
      </c>
      <c r="C110" s="13" t="s">
        <v>41</v>
      </c>
      <c r="D110" s="14">
        <v>2009</v>
      </c>
      <c r="E110" s="21">
        <v>7.45</v>
      </c>
      <c r="F110" s="15">
        <v>1</v>
      </c>
      <c r="G110" s="16" t="s">
        <v>399</v>
      </c>
      <c r="H110" s="14" t="s">
        <v>600</v>
      </c>
      <c r="I110" s="13" t="s">
        <v>25</v>
      </c>
      <c r="J110" s="13">
        <v>0</v>
      </c>
      <c r="K110" s="16">
        <v>1</v>
      </c>
      <c r="L110" s="13">
        <f t="shared" si="5"/>
        <v>1</v>
      </c>
      <c r="M110" s="13">
        <v>0</v>
      </c>
      <c r="N110" s="13">
        <f t="shared" si="6"/>
        <v>0</v>
      </c>
      <c r="O110" s="13">
        <f t="shared" si="7"/>
        <v>1</v>
      </c>
      <c r="P110" s="13">
        <f t="shared" si="8"/>
        <v>1</v>
      </c>
      <c r="Q110" s="18">
        <v>0</v>
      </c>
      <c r="R110" s="18">
        <v>1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20">
        <f t="shared" si="9"/>
        <v>1</v>
      </c>
      <c r="AD110" s="13" t="s">
        <v>75</v>
      </c>
      <c r="AE110" s="13">
        <v>800</v>
      </c>
      <c r="AG110" s="16" t="s">
        <v>167</v>
      </c>
      <c r="AI110" s="13" t="s">
        <v>42</v>
      </c>
      <c r="AJ110" s="14" t="s">
        <v>168</v>
      </c>
      <c r="AK110" s="15" t="s">
        <v>180</v>
      </c>
    </row>
    <row r="111" spans="1:37" s="23" customFormat="1">
      <c r="A111" s="23">
        <v>1</v>
      </c>
      <c r="B111" s="24" t="s">
        <v>181</v>
      </c>
      <c r="C111" s="30" t="s">
        <v>165</v>
      </c>
      <c r="D111" s="26">
        <v>2009</v>
      </c>
      <c r="E111" s="27" t="s">
        <v>184</v>
      </c>
      <c r="F111" s="28">
        <v>1</v>
      </c>
      <c r="G111" s="24"/>
      <c r="H111" s="26"/>
      <c r="I111" s="25" t="s">
        <v>25</v>
      </c>
      <c r="J111" s="25" t="s">
        <v>186</v>
      </c>
      <c r="K111" s="24">
        <v>5</v>
      </c>
      <c r="L111" s="25">
        <f t="shared" si="5"/>
        <v>5</v>
      </c>
      <c r="M111" s="25">
        <v>3</v>
      </c>
      <c r="N111" s="25">
        <f t="shared" si="6"/>
        <v>3</v>
      </c>
      <c r="O111" s="25">
        <f t="shared" si="7"/>
        <v>8</v>
      </c>
      <c r="P111" s="25">
        <f t="shared" si="8"/>
        <v>8</v>
      </c>
      <c r="Q111" s="29">
        <v>1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f t="shared" si="9"/>
        <v>1</v>
      </c>
      <c r="AD111" s="25"/>
      <c r="AE111" s="25"/>
      <c r="AF111" s="26"/>
      <c r="AG111" s="24" t="s">
        <v>182</v>
      </c>
      <c r="AH111" s="25"/>
      <c r="AI111" s="25" t="s">
        <v>42</v>
      </c>
      <c r="AJ111" s="26" t="s">
        <v>183</v>
      </c>
      <c r="AK111" s="28" t="s">
        <v>185</v>
      </c>
    </row>
    <row r="112" spans="1:37">
      <c r="A112" s="1">
        <v>2</v>
      </c>
      <c r="B112" s="16" t="s">
        <v>181</v>
      </c>
      <c r="C112" s="13" t="s">
        <v>165</v>
      </c>
      <c r="D112" s="14">
        <v>2009</v>
      </c>
      <c r="E112" s="21">
        <v>11.45</v>
      </c>
      <c r="F112" s="15">
        <v>1</v>
      </c>
      <c r="G112" s="16" t="s">
        <v>400</v>
      </c>
      <c r="H112" s="14" t="s">
        <v>601</v>
      </c>
      <c r="I112" s="13" t="s">
        <v>25</v>
      </c>
      <c r="J112" s="13" t="s">
        <v>186</v>
      </c>
      <c r="K112" s="16">
        <v>3</v>
      </c>
      <c r="L112" s="13">
        <f t="shared" si="5"/>
        <v>3</v>
      </c>
      <c r="M112" s="13">
        <v>2</v>
      </c>
      <c r="N112" s="13">
        <f t="shared" si="6"/>
        <v>2</v>
      </c>
      <c r="O112" s="13">
        <f t="shared" si="7"/>
        <v>5</v>
      </c>
      <c r="P112" s="13">
        <f t="shared" si="8"/>
        <v>5</v>
      </c>
      <c r="AC112" s="20">
        <f t="shared" si="9"/>
        <v>0</v>
      </c>
      <c r="AD112" s="13" t="s">
        <v>26</v>
      </c>
      <c r="AE112" s="13">
        <v>300</v>
      </c>
      <c r="AG112" s="16" t="s">
        <v>182</v>
      </c>
      <c r="AI112" s="13" t="s">
        <v>42</v>
      </c>
      <c r="AJ112" s="14" t="s">
        <v>183</v>
      </c>
      <c r="AK112" s="15" t="s">
        <v>187</v>
      </c>
    </row>
    <row r="113" spans="1:37">
      <c r="A113" s="1">
        <v>3</v>
      </c>
      <c r="B113" s="16" t="s">
        <v>181</v>
      </c>
      <c r="C113" s="22" t="s">
        <v>165</v>
      </c>
      <c r="D113" s="14">
        <v>2009</v>
      </c>
      <c r="E113" s="21">
        <v>11.5</v>
      </c>
      <c r="F113" s="15">
        <v>1</v>
      </c>
      <c r="G113" s="16" t="s">
        <v>401</v>
      </c>
      <c r="H113" s="14" t="s">
        <v>602</v>
      </c>
      <c r="I113" s="13" t="s">
        <v>25</v>
      </c>
      <c r="J113" s="13">
        <v>0</v>
      </c>
      <c r="K113" s="16">
        <v>2</v>
      </c>
      <c r="L113" s="13">
        <f t="shared" si="5"/>
        <v>2</v>
      </c>
      <c r="M113" s="13">
        <v>1</v>
      </c>
      <c r="N113" s="13">
        <f t="shared" si="6"/>
        <v>1</v>
      </c>
      <c r="O113" s="13">
        <f t="shared" si="7"/>
        <v>3</v>
      </c>
      <c r="P113" s="13">
        <f t="shared" si="8"/>
        <v>3</v>
      </c>
      <c r="AC113" s="20">
        <f t="shared" si="9"/>
        <v>0</v>
      </c>
      <c r="AD113" s="13" t="s">
        <v>75</v>
      </c>
      <c r="AE113" s="13">
        <v>50</v>
      </c>
      <c r="AG113" s="16" t="s">
        <v>182</v>
      </c>
      <c r="AI113" s="13" t="s">
        <v>42</v>
      </c>
      <c r="AJ113" s="14" t="s">
        <v>183</v>
      </c>
      <c r="AK113" s="15" t="s">
        <v>188</v>
      </c>
    </row>
    <row r="114" spans="1:37">
      <c r="A114" s="1">
        <v>4</v>
      </c>
      <c r="B114" s="16" t="s">
        <v>181</v>
      </c>
      <c r="C114" s="13" t="s">
        <v>165</v>
      </c>
      <c r="D114" s="14">
        <v>2009</v>
      </c>
      <c r="E114" s="21">
        <v>11.55</v>
      </c>
      <c r="F114" s="15">
        <v>1</v>
      </c>
      <c r="G114" s="16" t="s">
        <v>402</v>
      </c>
      <c r="H114" s="14" t="s">
        <v>603</v>
      </c>
      <c r="I114" s="13" t="s">
        <v>25</v>
      </c>
      <c r="J114" s="13">
        <v>0</v>
      </c>
      <c r="K114" s="16">
        <v>1</v>
      </c>
      <c r="L114" s="13">
        <f t="shared" si="5"/>
        <v>1</v>
      </c>
      <c r="M114" s="13">
        <v>1</v>
      </c>
      <c r="N114" s="13">
        <f t="shared" si="6"/>
        <v>1</v>
      </c>
      <c r="O114" s="13">
        <f t="shared" si="7"/>
        <v>2</v>
      </c>
      <c r="P114" s="13">
        <f t="shared" si="8"/>
        <v>2</v>
      </c>
      <c r="AC114" s="20">
        <f t="shared" si="9"/>
        <v>0</v>
      </c>
      <c r="AD114" s="13" t="s">
        <v>108</v>
      </c>
      <c r="AE114" s="13">
        <v>400</v>
      </c>
      <c r="AG114" s="16" t="s">
        <v>182</v>
      </c>
      <c r="AI114" s="13" t="s">
        <v>42</v>
      </c>
      <c r="AJ114" s="14" t="s">
        <v>183</v>
      </c>
      <c r="AK114" s="15" t="s">
        <v>189</v>
      </c>
    </row>
    <row r="115" spans="1:37">
      <c r="A115" s="1">
        <v>5</v>
      </c>
      <c r="B115" s="16" t="s">
        <v>181</v>
      </c>
      <c r="C115" s="22" t="s">
        <v>165</v>
      </c>
      <c r="D115" s="14">
        <v>2009</v>
      </c>
      <c r="E115" s="21">
        <v>12</v>
      </c>
      <c r="F115" s="15">
        <v>1</v>
      </c>
      <c r="G115" s="16" t="s">
        <v>403</v>
      </c>
      <c r="H115" s="14" t="s">
        <v>604</v>
      </c>
      <c r="I115" s="13" t="s">
        <v>25</v>
      </c>
      <c r="J115" s="13">
        <v>0</v>
      </c>
      <c r="K115" s="16">
        <v>1</v>
      </c>
      <c r="L115" s="13">
        <f t="shared" si="5"/>
        <v>1</v>
      </c>
      <c r="M115" s="13">
        <v>0</v>
      </c>
      <c r="N115" s="13">
        <f t="shared" si="6"/>
        <v>0</v>
      </c>
      <c r="O115" s="13">
        <f t="shared" si="7"/>
        <v>1</v>
      </c>
      <c r="P115" s="13">
        <f t="shared" si="8"/>
        <v>1</v>
      </c>
      <c r="Q115" s="18">
        <v>0</v>
      </c>
      <c r="R115" s="18">
        <v>1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20">
        <f t="shared" si="9"/>
        <v>1</v>
      </c>
      <c r="AD115" s="13" t="s">
        <v>108</v>
      </c>
      <c r="AE115" s="13">
        <v>1800</v>
      </c>
      <c r="AG115" s="16" t="s">
        <v>182</v>
      </c>
      <c r="AI115" s="13" t="s">
        <v>42</v>
      </c>
      <c r="AJ115" s="14" t="s">
        <v>183</v>
      </c>
      <c r="AK115" s="15" t="s">
        <v>190</v>
      </c>
    </row>
    <row r="116" spans="1:37">
      <c r="A116" s="1">
        <v>6</v>
      </c>
      <c r="B116" s="16" t="s">
        <v>181</v>
      </c>
      <c r="C116" s="13" t="s">
        <v>165</v>
      </c>
      <c r="D116" s="14">
        <v>2009</v>
      </c>
      <c r="E116" s="21">
        <v>12.02</v>
      </c>
      <c r="F116" s="15">
        <v>1</v>
      </c>
      <c r="G116" s="16" t="s">
        <v>404</v>
      </c>
      <c r="H116" s="14" t="s">
        <v>605</v>
      </c>
      <c r="I116" s="13" t="s">
        <v>25</v>
      </c>
      <c r="J116" s="13">
        <v>0</v>
      </c>
      <c r="K116" s="16">
        <v>1</v>
      </c>
      <c r="L116" s="13">
        <f t="shared" si="5"/>
        <v>1</v>
      </c>
      <c r="M116" s="13">
        <v>0</v>
      </c>
      <c r="N116" s="13">
        <f t="shared" si="6"/>
        <v>0</v>
      </c>
      <c r="O116" s="13">
        <f t="shared" si="7"/>
        <v>1</v>
      </c>
      <c r="P116" s="13">
        <f t="shared" si="8"/>
        <v>1</v>
      </c>
      <c r="Q116" s="18">
        <v>0</v>
      </c>
      <c r="R116" s="18">
        <v>1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20">
        <f t="shared" si="9"/>
        <v>1</v>
      </c>
      <c r="AD116" s="13" t="s">
        <v>108</v>
      </c>
      <c r="AE116" s="13">
        <v>1300</v>
      </c>
      <c r="AG116" s="16" t="s">
        <v>182</v>
      </c>
      <c r="AI116" s="13" t="s">
        <v>42</v>
      </c>
      <c r="AJ116" s="14" t="s">
        <v>183</v>
      </c>
      <c r="AK116" s="15" t="s">
        <v>191</v>
      </c>
    </row>
    <row r="117" spans="1:37">
      <c r="A117" s="1">
        <v>7</v>
      </c>
      <c r="B117" s="16" t="s">
        <v>181</v>
      </c>
      <c r="C117" s="22" t="s">
        <v>165</v>
      </c>
      <c r="D117" s="14">
        <v>2009</v>
      </c>
      <c r="E117" s="21">
        <v>12.12</v>
      </c>
      <c r="F117" s="15">
        <v>1</v>
      </c>
      <c r="G117" s="16" t="s">
        <v>405</v>
      </c>
      <c r="H117" s="14" t="s">
        <v>606</v>
      </c>
      <c r="I117" s="13" t="s">
        <v>25</v>
      </c>
      <c r="J117" s="13">
        <v>0</v>
      </c>
      <c r="K117" s="16">
        <v>1</v>
      </c>
      <c r="L117" s="13">
        <f t="shared" si="5"/>
        <v>1</v>
      </c>
      <c r="M117" s="13">
        <v>1</v>
      </c>
      <c r="N117" s="13">
        <f t="shared" si="6"/>
        <v>1</v>
      </c>
      <c r="O117" s="13">
        <f t="shared" si="7"/>
        <v>2</v>
      </c>
      <c r="P117" s="13">
        <f t="shared" si="8"/>
        <v>2</v>
      </c>
      <c r="Q117" s="18">
        <v>0</v>
      </c>
      <c r="R117" s="18">
        <v>2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20">
        <f t="shared" si="9"/>
        <v>2</v>
      </c>
      <c r="AD117" s="13" t="s">
        <v>75</v>
      </c>
      <c r="AE117" s="13">
        <v>4000</v>
      </c>
      <c r="AG117" s="16" t="s">
        <v>182</v>
      </c>
      <c r="AI117" s="13" t="s">
        <v>42</v>
      </c>
      <c r="AJ117" s="14" t="s">
        <v>183</v>
      </c>
      <c r="AK117" s="15" t="s">
        <v>192</v>
      </c>
    </row>
    <row r="118" spans="1:37">
      <c r="A118" s="1">
        <v>8</v>
      </c>
      <c r="B118" s="16" t="s">
        <v>181</v>
      </c>
      <c r="C118" s="13" t="s">
        <v>165</v>
      </c>
      <c r="D118" s="14">
        <v>2009</v>
      </c>
      <c r="E118" s="21">
        <v>12.4</v>
      </c>
      <c r="F118" s="15">
        <v>1</v>
      </c>
      <c r="G118" s="16" t="s">
        <v>406</v>
      </c>
      <c r="H118" s="14" t="s">
        <v>607</v>
      </c>
      <c r="I118" s="13" t="s">
        <v>25</v>
      </c>
      <c r="J118" s="13">
        <v>0</v>
      </c>
      <c r="K118" s="16">
        <v>1</v>
      </c>
      <c r="L118" s="13">
        <f t="shared" si="5"/>
        <v>1</v>
      </c>
      <c r="M118" s="13">
        <v>0</v>
      </c>
      <c r="N118" s="13">
        <f t="shared" si="6"/>
        <v>0</v>
      </c>
      <c r="O118" s="13">
        <f t="shared" si="7"/>
        <v>1</v>
      </c>
      <c r="P118" s="13">
        <f t="shared" si="8"/>
        <v>1</v>
      </c>
      <c r="Q118" s="18">
        <v>0</v>
      </c>
      <c r="R118" s="18">
        <v>1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20">
        <f t="shared" si="9"/>
        <v>1</v>
      </c>
      <c r="AD118" s="13" t="s">
        <v>26</v>
      </c>
      <c r="AE118" s="13">
        <v>1000</v>
      </c>
      <c r="AG118" s="16" t="s">
        <v>182</v>
      </c>
      <c r="AI118" s="13" t="s">
        <v>42</v>
      </c>
      <c r="AJ118" s="14" t="s">
        <v>183</v>
      </c>
      <c r="AK118" s="15" t="s">
        <v>193</v>
      </c>
    </row>
    <row r="119" spans="1:37">
      <c r="A119" s="1">
        <v>9</v>
      </c>
      <c r="B119" s="16" t="s">
        <v>181</v>
      </c>
      <c r="C119" s="22" t="s">
        <v>165</v>
      </c>
      <c r="D119" s="14">
        <v>2009</v>
      </c>
      <c r="E119" s="21">
        <v>13.05</v>
      </c>
      <c r="F119" s="15">
        <v>1</v>
      </c>
      <c r="G119" s="16" t="s">
        <v>407</v>
      </c>
      <c r="H119" s="14" t="s">
        <v>608</v>
      </c>
      <c r="I119" s="13" t="s">
        <v>25</v>
      </c>
      <c r="J119" s="13">
        <v>0</v>
      </c>
      <c r="K119" s="16">
        <v>1</v>
      </c>
      <c r="L119" s="13">
        <f t="shared" si="5"/>
        <v>1</v>
      </c>
      <c r="M119" s="13">
        <v>1</v>
      </c>
      <c r="N119" s="13">
        <f t="shared" si="6"/>
        <v>1</v>
      </c>
      <c r="O119" s="13">
        <f t="shared" si="7"/>
        <v>2</v>
      </c>
      <c r="P119" s="13">
        <f t="shared" si="8"/>
        <v>2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2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20">
        <f t="shared" si="9"/>
        <v>2</v>
      </c>
      <c r="AD119" s="13" t="s">
        <v>75</v>
      </c>
      <c r="AE119" s="13">
        <v>1000</v>
      </c>
      <c r="AF119" s="14" t="s">
        <v>157</v>
      </c>
      <c r="AG119" s="16" t="s">
        <v>182</v>
      </c>
      <c r="AI119" s="13" t="s">
        <v>42</v>
      </c>
      <c r="AJ119" s="14" t="s">
        <v>183</v>
      </c>
      <c r="AK119" s="15" t="s">
        <v>194</v>
      </c>
    </row>
    <row r="120" spans="1:37">
      <c r="A120" s="1">
        <v>10</v>
      </c>
      <c r="B120" s="16" t="s">
        <v>181</v>
      </c>
      <c r="C120" s="13" t="s">
        <v>165</v>
      </c>
      <c r="D120" s="14">
        <v>2009</v>
      </c>
      <c r="E120" s="21">
        <v>13.29</v>
      </c>
      <c r="F120" s="15">
        <v>1</v>
      </c>
      <c r="G120" s="16" t="s">
        <v>408</v>
      </c>
      <c r="H120" s="14" t="s">
        <v>609</v>
      </c>
      <c r="I120" s="13" t="s">
        <v>25</v>
      </c>
      <c r="J120" s="13">
        <v>0</v>
      </c>
      <c r="K120" s="16">
        <v>2</v>
      </c>
      <c r="L120" s="13">
        <f t="shared" si="5"/>
        <v>2</v>
      </c>
      <c r="M120" s="13">
        <v>1</v>
      </c>
      <c r="N120" s="13">
        <f t="shared" si="6"/>
        <v>1</v>
      </c>
      <c r="O120" s="13">
        <f t="shared" si="7"/>
        <v>3</v>
      </c>
      <c r="P120" s="13">
        <f t="shared" si="8"/>
        <v>3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3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8">
        <v>0</v>
      </c>
      <c r="AC120" s="20">
        <f t="shared" si="9"/>
        <v>3</v>
      </c>
      <c r="AD120" s="13" t="s">
        <v>173</v>
      </c>
      <c r="AE120" s="13">
        <v>90</v>
      </c>
      <c r="AF120" s="14" t="s">
        <v>157</v>
      </c>
      <c r="AG120" s="16" t="s">
        <v>182</v>
      </c>
      <c r="AI120" s="13" t="s">
        <v>42</v>
      </c>
      <c r="AJ120" s="14" t="s">
        <v>183</v>
      </c>
      <c r="AK120" s="15" t="s">
        <v>195</v>
      </c>
    </row>
    <row r="121" spans="1:37">
      <c r="A121" s="1">
        <v>11</v>
      </c>
      <c r="B121" s="16" t="s">
        <v>181</v>
      </c>
      <c r="C121" s="22" t="s">
        <v>165</v>
      </c>
      <c r="D121" s="14">
        <v>2009</v>
      </c>
      <c r="E121" s="21">
        <v>13.36</v>
      </c>
      <c r="F121" s="15">
        <v>1</v>
      </c>
      <c r="G121" s="16" t="s">
        <v>409</v>
      </c>
      <c r="H121" s="14" t="s">
        <v>610</v>
      </c>
      <c r="I121" s="13" t="s">
        <v>25</v>
      </c>
      <c r="J121" s="13">
        <v>0</v>
      </c>
      <c r="K121" s="16">
        <v>1</v>
      </c>
      <c r="L121" s="13">
        <f t="shared" si="5"/>
        <v>1</v>
      </c>
      <c r="M121" s="13">
        <v>1</v>
      </c>
      <c r="N121" s="13">
        <f t="shared" si="6"/>
        <v>1</v>
      </c>
      <c r="O121" s="13">
        <f t="shared" si="7"/>
        <v>2</v>
      </c>
      <c r="P121" s="13">
        <f t="shared" si="8"/>
        <v>2</v>
      </c>
      <c r="Q121" s="18">
        <v>0</v>
      </c>
      <c r="R121" s="18">
        <v>2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20">
        <f t="shared" si="9"/>
        <v>2</v>
      </c>
      <c r="AD121" s="13" t="s">
        <v>68</v>
      </c>
      <c r="AE121" s="13">
        <v>2000</v>
      </c>
      <c r="AG121" s="16" t="s">
        <v>196</v>
      </c>
      <c r="AI121" s="13" t="s">
        <v>42</v>
      </c>
      <c r="AJ121" s="14" t="s">
        <v>168</v>
      </c>
      <c r="AK121" s="15" t="s">
        <v>197</v>
      </c>
    </row>
    <row r="122" spans="1:37">
      <c r="A122" s="1">
        <v>12</v>
      </c>
      <c r="B122" s="16" t="s">
        <v>181</v>
      </c>
      <c r="C122" s="13" t="s">
        <v>165</v>
      </c>
      <c r="D122" s="14">
        <v>2009</v>
      </c>
      <c r="E122" s="21">
        <v>14.1</v>
      </c>
      <c r="F122" s="15">
        <v>1</v>
      </c>
      <c r="G122" s="16" t="s">
        <v>410</v>
      </c>
      <c r="H122" s="14" t="s">
        <v>611</v>
      </c>
      <c r="I122" s="13" t="s">
        <v>25</v>
      </c>
      <c r="J122" s="13">
        <v>0</v>
      </c>
      <c r="K122" s="16">
        <v>1</v>
      </c>
      <c r="L122" s="13">
        <f t="shared" si="5"/>
        <v>1</v>
      </c>
      <c r="M122" s="13">
        <v>1</v>
      </c>
      <c r="N122" s="13">
        <f t="shared" si="6"/>
        <v>1</v>
      </c>
      <c r="O122" s="13">
        <f t="shared" si="7"/>
        <v>2</v>
      </c>
      <c r="P122" s="13">
        <f t="shared" si="8"/>
        <v>2</v>
      </c>
      <c r="Q122" s="18">
        <v>0</v>
      </c>
      <c r="R122" s="18">
        <v>2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8">
        <v>0</v>
      </c>
      <c r="AC122" s="20">
        <f t="shared" si="9"/>
        <v>2</v>
      </c>
      <c r="AD122" s="13" t="s">
        <v>68</v>
      </c>
      <c r="AE122" s="13">
        <v>800</v>
      </c>
      <c r="AF122" s="14" t="s">
        <v>157</v>
      </c>
      <c r="AG122" s="16" t="s">
        <v>196</v>
      </c>
      <c r="AI122" s="13" t="s">
        <v>42</v>
      </c>
      <c r="AJ122" s="14" t="s">
        <v>168</v>
      </c>
      <c r="AK122" s="15" t="s">
        <v>198</v>
      </c>
    </row>
    <row r="123" spans="1:37">
      <c r="A123" s="1">
        <v>13</v>
      </c>
      <c r="B123" s="16" t="s">
        <v>181</v>
      </c>
      <c r="C123" s="22" t="s">
        <v>165</v>
      </c>
      <c r="D123" s="14">
        <v>2009</v>
      </c>
      <c r="E123" s="21">
        <v>14.59</v>
      </c>
      <c r="F123" s="15">
        <v>1</v>
      </c>
      <c r="G123" s="16" t="s">
        <v>411</v>
      </c>
      <c r="H123" s="14" t="s">
        <v>612</v>
      </c>
      <c r="I123" s="13" t="s">
        <v>25</v>
      </c>
      <c r="J123" s="13">
        <v>0</v>
      </c>
      <c r="K123" s="16">
        <v>1</v>
      </c>
      <c r="L123" s="13">
        <f t="shared" si="5"/>
        <v>1</v>
      </c>
      <c r="M123" s="13">
        <v>0</v>
      </c>
      <c r="N123" s="13">
        <f t="shared" si="6"/>
        <v>0</v>
      </c>
      <c r="O123" s="13">
        <f t="shared" si="7"/>
        <v>1</v>
      </c>
      <c r="P123" s="13">
        <f t="shared" si="8"/>
        <v>1</v>
      </c>
      <c r="Q123" s="18">
        <v>0</v>
      </c>
      <c r="R123" s="18">
        <v>1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20">
        <f t="shared" si="9"/>
        <v>1</v>
      </c>
      <c r="AD123" s="13" t="s">
        <v>68</v>
      </c>
      <c r="AE123" s="13">
        <v>1500</v>
      </c>
      <c r="AG123" s="16" t="s">
        <v>196</v>
      </c>
      <c r="AI123" s="13" t="s">
        <v>42</v>
      </c>
      <c r="AJ123" s="14" t="s">
        <v>168</v>
      </c>
      <c r="AK123" s="15" t="s">
        <v>199</v>
      </c>
    </row>
    <row r="124" spans="1:37">
      <c r="A124" s="1">
        <v>14</v>
      </c>
      <c r="B124" s="16" t="s">
        <v>181</v>
      </c>
      <c r="C124" s="13" t="s">
        <v>165</v>
      </c>
      <c r="D124" s="14">
        <v>2009</v>
      </c>
      <c r="E124" s="21">
        <v>15.25</v>
      </c>
      <c r="F124" s="15">
        <v>1</v>
      </c>
      <c r="G124" s="16" t="s">
        <v>412</v>
      </c>
      <c r="H124" s="14" t="s">
        <v>613</v>
      </c>
      <c r="I124" s="13" t="s">
        <v>25</v>
      </c>
      <c r="J124" s="13">
        <v>0</v>
      </c>
      <c r="K124" s="16">
        <v>1</v>
      </c>
      <c r="L124" s="13">
        <f t="shared" si="5"/>
        <v>1</v>
      </c>
      <c r="M124" s="13">
        <v>1</v>
      </c>
      <c r="N124" s="13">
        <f t="shared" si="6"/>
        <v>1</v>
      </c>
      <c r="O124" s="13">
        <f t="shared" si="7"/>
        <v>2</v>
      </c>
      <c r="P124" s="13">
        <f t="shared" si="8"/>
        <v>2</v>
      </c>
      <c r="Q124" s="18">
        <v>0</v>
      </c>
      <c r="R124" s="18">
        <v>2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20">
        <f t="shared" si="9"/>
        <v>2</v>
      </c>
      <c r="AD124" s="13" t="s">
        <v>26</v>
      </c>
      <c r="AE124" s="13">
        <v>1100</v>
      </c>
      <c r="AF124" s="14" t="s">
        <v>170</v>
      </c>
      <c r="AG124" s="16" t="s">
        <v>196</v>
      </c>
      <c r="AI124" s="13" t="s">
        <v>42</v>
      </c>
      <c r="AJ124" s="14" t="s">
        <v>168</v>
      </c>
      <c r="AK124" s="15" t="s">
        <v>200</v>
      </c>
    </row>
    <row r="125" spans="1:37">
      <c r="A125" s="1">
        <v>15</v>
      </c>
      <c r="B125" s="16" t="s">
        <v>181</v>
      </c>
      <c r="C125" s="22" t="s">
        <v>165</v>
      </c>
      <c r="D125" s="14">
        <v>2009</v>
      </c>
      <c r="E125" s="21">
        <v>16</v>
      </c>
      <c r="F125" s="15">
        <v>1</v>
      </c>
      <c r="G125" s="16" t="s">
        <v>413</v>
      </c>
      <c r="H125" s="14" t="s">
        <v>614</v>
      </c>
      <c r="I125" s="13" t="s">
        <v>25</v>
      </c>
      <c r="J125" s="13">
        <v>0</v>
      </c>
      <c r="K125" s="16">
        <v>1</v>
      </c>
      <c r="L125" s="13">
        <f t="shared" si="5"/>
        <v>1</v>
      </c>
      <c r="M125" s="13">
        <v>0</v>
      </c>
      <c r="N125" s="13">
        <f t="shared" si="6"/>
        <v>0</v>
      </c>
      <c r="O125" s="13">
        <f t="shared" si="7"/>
        <v>1</v>
      </c>
      <c r="P125" s="13">
        <f t="shared" si="8"/>
        <v>1</v>
      </c>
      <c r="Q125" s="18">
        <v>0</v>
      </c>
      <c r="R125" s="18">
        <v>1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20">
        <f t="shared" si="9"/>
        <v>1</v>
      </c>
      <c r="AD125" s="13" t="s">
        <v>173</v>
      </c>
      <c r="AE125" s="13">
        <v>300</v>
      </c>
      <c r="AG125" s="16" t="s">
        <v>196</v>
      </c>
      <c r="AI125" s="13" t="s">
        <v>42</v>
      </c>
      <c r="AJ125" s="14" t="s">
        <v>168</v>
      </c>
      <c r="AK125" s="15" t="s">
        <v>201</v>
      </c>
    </row>
    <row r="126" spans="1:37" s="23" customFormat="1">
      <c r="A126" s="23">
        <v>1</v>
      </c>
      <c r="B126" s="24" t="s">
        <v>202</v>
      </c>
      <c r="C126" s="25" t="s">
        <v>165</v>
      </c>
      <c r="D126" s="26">
        <v>2009</v>
      </c>
      <c r="E126" s="27">
        <v>7.4</v>
      </c>
      <c r="F126" s="28">
        <v>1</v>
      </c>
      <c r="G126" s="24" t="s">
        <v>414</v>
      </c>
      <c r="H126" s="26" t="s">
        <v>615</v>
      </c>
      <c r="I126" s="25" t="s">
        <v>25</v>
      </c>
      <c r="J126" s="25" t="s">
        <v>205</v>
      </c>
      <c r="K126" s="24">
        <v>1</v>
      </c>
      <c r="L126" s="25">
        <f t="shared" si="5"/>
        <v>1</v>
      </c>
      <c r="M126" s="25">
        <v>0</v>
      </c>
      <c r="N126" s="25">
        <f t="shared" si="6"/>
        <v>0</v>
      </c>
      <c r="O126" s="25">
        <f t="shared" si="7"/>
        <v>1</v>
      </c>
      <c r="P126" s="25">
        <f t="shared" si="8"/>
        <v>1</v>
      </c>
      <c r="Q126" s="29">
        <v>0</v>
      </c>
      <c r="R126" s="29">
        <v>0</v>
      </c>
      <c r="S126" s="29">
        <v>0</v>
      </c>
      <c r="T126" s="29">
        <v>0</v>
      </c>
      <c r="U126" s="29">
        <v>1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f t="shared" si="9"/>
        <v>1</v>
      </c>
      <c r="AD126" s="25" t="s">
        <v>77</v>
      </c>
      <c r="AE126" s="25">
        <v>1000</v>
      </c>
      <c r="AF126" s="26"/>
      <c r="AG126" s="24" t="s">
        <v>203</v>
      </c>
      <c r="AH126" s="25"/>
      <c r="AI126" s="25" t="s">
        <v>42</v>
      </c>
      <c r="AJ126" s="26" t="s">
        <v>204</v>
      </c>
      <c r="AK126" s="28" t="s">
        <v>206</v>
      </c>
    </row>
    <row r="127" spans="1:37">
      <c r="A127" s="1">
        <v>2</v>
      </c>
      <c r="B127" s="16" t="s">
        <v>202</v>
      </c>
      <c r="C127" s="22" t="s">
        <v>165</v>
      </c>
      <c r="D127" s="14">
        <v>2009</v>
      </c>
      <c r="E127" s="21">
        <v>7.46</v>
      </c>
      <c r="F127" s="15">
        <v>1</v>
      </c>
      <c r="G127" s="16" t="s">
        <v>415</v>
      </c>
      <c r="H127" s="14" t="s">
        <v>616</v>
      </c>
      <c r="I127" s="13" t="s">
        <v>25</v>
      </c>
      <c r="J127" s="13">
        <v>0</v>
      </c>
      <c r="K127" s="16">
        <v>1</v>
      </c>
      <c r="L127" s="13">
        <f t="shared" si="5"/>
        <v>1</v>
      </c>
      <c r="M127" s="13">
        <v>1</v>
      </c>
      <c r="N127" s="13">
        <f t="shared" si="6"/>
        <v>1</v>
      </c>
      <c r="O127" s="13">
        <f t="shared" si="7"/>
        <v>2</v>
      </c>
      <c r="P127" s="13">
        <f t="shared" si="8"/>
        <v>2</v>
      </c>
      <c r="Q127" s="18">
        <v>0</v>
      </c>
      <c r="R127" s="18">
        <v>2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20">
        <f t="shared" si="9"/>
        <v>2</v>
      </c>
      <c r="AD127" s="13" t="s">
        <v>108</v>
      </c>
      <c r="AE127" s="13">
        <v>300</v>
      </c>
      <c r="AG127" s="16" t="s">
        <v>203</v>
      </c>
      <c r="AI127" s="13" t="s">
        <v>42</v>
      </c>
      <c r="AJ127" s="14" t="s">
        <v>204</v>
      </c>
      <c r="AK127" s="15" t="s">
        <v>207</v>
      </c>
    </row>
    <row r="128" spans="1:37">
      <c r="A128" s="1">
        <v>3</v>
      </c>
      <c r="B128" s="16" t="s">
        <v>202</v>
      </c>
      <c r="C128" s="13" t="s">
        <v>165</v>
      </c>
      <c r="D128" s="14">
        <v>2009</v>
      </c>
      <c r="E128" s="21">
        <v>8.1199999999999992</v>
      </c>
      <c r="F128" s="15">
        <v>1</v>
      </c>
      <c r="G128" s="16" t="s">
        <v>416</v>
      </c>
      <c r="H128" s="14" t="s">
        <v>617</v>
      </c>
      <c r="I128" s="13" t="s">
        <v>25</v>
      </c>
      <c r="J128" s="13">
        <v>0</v>
      </c>
      <c r="K128" s="16">
        <v>2</v>
      </c>
      <c r="L128" s="13">
        <f t="shared" si="5"/>
        <v>2</v>
      </c>
      <c r="M128" s="13">
        <v>0</v>
      </c>
      <c r="N128" s="13">
        <f t="shared" si="6"/>
        <v>0</v>
      </c>
      <c r="O128" s="13">
        <f t="shared" si="7"/>
        <v>2</v>
      </c>
      <c r="P128" s="13">
        <f t="shared" si="8"/>
        <v>2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2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20">
        <f t="shared" si="9"/>
        <v>2</v>
      </c>
      <c r="AD128" s="13" t="s">
        <v>26</v>
      </c>
      <c r="AE128" s="13">
        <v>750</v>
      </c>
      <c r="AG128" s="16" t="s">
        <v>203</v>
      </c>
      <c r="AI128" s="13" t="s">
        <v>42</v>
      </c>
      <c r="AJ128" s="14" t="s">
        <v>204</v>
      </c>
      <c r="AK128" s="15" t="s">
        <v>208</v>
      </c>
    </row>
    <row r="129" spans="1:37">
      <c r="A129" s="1">
        <v>4</v>
      </c>
      <c r="B129" s="16" t="s">
        <v>202</v>
      </c>
      <c r="C129" s="22" t="s">
        <v>165</v>
      </c>
      <c r="D129" s="14">
        <v>2009</v>
      </c>
      <c r="E129" s="21">
        <v>8.32</v>
      </c>
      <c r="F129" s="15">
        <v>1</v>
      </c>
      <c r="G129" s="16" t="s">
        <v>417</v>
      </c>
      <c r="H129" s="14" t="s">
        <v>617</v>
      </c>
      <c r="I129" s="13" t="s">
        <v>25</v>
      </c>
      <c r="J129" s="13">
        <v>0</v>
      </c>
      <c r="K129" s="16">
        <v>1</v>
      </c>
      <c r="L129" s="13">
        <f t="shared" si="5"/>
        <v>1</v>
      </c>
      <c r="M129" s="13">
        <v>0</v>
      </c>
      <c r="N129" s="13">
        <f t="shared" si="6"/>
        <v>0</v>
      </c>
      <c r="O129" s="13">
        <f t="shared" si="7"/>
        <v>1</v>
      </c>
      <c r="P129" s="13">
        <f t="shared" si="8"/>
        <v>1</v>
      </c>
      <c r="Q129" s="18">
        <v>1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20">
        <f t="shared" si="9"/>
        <v>1</v>
      </c>
      <c r="AD129" s="13" t="s">
        <v>75</v>
      </c>
      <c r="AE129" s="13">
        <v>1300</v>
      </c>
      <c r="AG129" s="16" t="s">
        <v>203</v>
      </c>
      <c r="AI129" s="13" t="s">
        <v>42</v>
      </c>
      <c r="AJ129" s="14" t="s">
        <v>204</v>
      </c>
      <c r="AK129" s="15" t="s">
        <v>209</v>
      </c>
    </row>
    <row r="130" spans="1:37">
      <c r="A130" s="1">
        <v>5</v>
      </c>
      <c r="B130" s="16" t="s">
        <v>202</v>
      </c>
      <c r="C130" s="13" t="s">
        <v>165</v>
      </c>
      <c r="D130" s="14">
        <v>2009</v>
      </c>
      <c r="E130" s="21">
        <v>8.34</v>
      </c>
      <c r="F130" s="15">
        <v>1</v>
      </c>
      <c r="G130" s="16" t="s">
        <v>418</v>
      </c>
      <c r="H130" s="14" t="s">
        <v>618</v>
      </c>
      <c r="I130" s="13" t="s">
        <v>25</v>
      </c>
      <c r="J130" s="13">
        <v>0</v>
      </c>
      <c r="K130" s="16">
        <v>1</v>
      </c>
      <c r="L130" s="13">
        <f t="shared" si="5"/>
        <v>1</v>
      </c>
      <c r="M130" s="13">
        <v>0</v>
      </c>
      <c r="N130" s="13">
        <f t="shared" si="6"/>
        <v>0</v>
      </c>
      <c r="O130" s="13">
        <f t="shared" si="7"/>
        <v>1</v>
      </c>
      <c r="P130" s="13">
        <f t="shared" si="8"/>
        <v>1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1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20">
        <f t="shared" si="9"/>
        <v>1</v>
      </c>
      <c r="AD130" s="13" t="s">
        <v>173</v>
      </c>
      <c r="AE130" s="13">
        <v>80</v>
      </c>
      <c r="AF130" s="14" t="s">
        <v>157</v>
      </c>
      <c r="AG130" s="16" t="s">
        <v>203</v>
      </c>
      <c r="AI130" s="13" t="s">
        <v>42</v>
      </c>
      <c r="AJ130" s="14" t="s">
        <v>204</v>
      </c>
      <c r="AK130" s="15" t="s">
        <v>210</v>
      </c>
    </row>
    <row r="131" spans="1:37">
      <c r="A131" s="1">
        <v>6</v>
      </c>
      <c r="B131" s="16" t="s">
        <v>202</v>
      </c>
      <c r="C131" s="22" t="s">
        <v>165</v>
      </c>
      <c r="D131" s="14">
        <v>2009</v>
      </c>
      <c r="E131" s="21">
        <v>8.3699999999999992</v>
      </c>
      <c r="F131" s="15">
        <v>1</v>
      </c>
      <c r="G131" s="16" t="s">
        <v>419</v>
      </c>
      <c r="H131" s="14" t="s">
        <v>619</v>
      </c>
      <c r="I131" s="13" t="s">
        <v>25</v>
      </c>
      <c r="J131" s="13">
        <v>0</v>
      </c>
      <c r="K131" s="16">
        <v>1</v>
      </c>
      <c r="L131" s="13">
        <f t="shared" si="5"/>
        <v>1</v>
      </c>
      <c r="M131" s="13">
        <v>0</v>
      </c>
      <c r="N131" s="13">
        <f t="shared" si="6"/>
        <v>0</v>
      </c>
      <c r="O131" s="13">
        <f t="shared" si="7"/>
        <v>1</v>
      </c>
      <c r="P131" s="13">
        <f t="shared" si="8"/>
        <v>1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1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20">
        <f t="shared" si="9"/>
        <v>1</v>
      </c>
      <c r="AD131" s="13" t="s">
        <v>75</v>
      </c>
      <c r="AE131" s="13">
        <v>1000</v>
      </c>
      <c r="AF131" s="14" t="s">
        <v>170</v>
      </c>
      <c r="AG131" s="16" t="s">
        <v>203</v>
      </c>
      <c r="AI131" s="13" t="s">
        <v>42</v>
      </c>
      <c r="AJ131" s="14" t="s">
        <v>204</v>
      </c>
      <c r="AK131" s="15" t="s">
        <v>211</v>
      </c>
    </row>
    <row r="132" spans="1:37">
      <c r="A132" s="1">
        <v>7</v>
      </c>
      <c r="B132" s="16" t="s">
        <v>202</v>
      </c>
      <c r="C132" s="13" t="s">
        <v>165</v>
      </c>
      <c r="D132" s="14">
        <v>2009</v>
      </c>
      <c r="E132" s="21">
        <v>8.39</v>
      </c>
      <c r="F132" s="15">
        <v>1</v>
      </c>
      <c r="G132" s="16" t="s">
        <v>420</v>
      </c>
      <c r="H132" s="14" t="s">
        <v>620</v>
      </c>
      <c r="I132" s="13" t="s">
        <v>25</v>
      </c>
      <c r="J132" s="13">
        <v>0</v>
      </c>
      <c r="K132" s="16">
        <v>1</v>
      </c>
      <c r="L132" s="13">
        <f t="shared" ref="L132:L158" si="10">K132/F132</f>
        <v>1</v>
      </c>
      <c r="M132" s="13">
        <v>0</v>
      </c>
      <c r="N132" s="13">
        <f t="shared" ref="N132:N158" si="11">M132/F132</f>
        <v>0</v>
      </c>
      <c r="O132" s="13">
        <f t="shared" ref="O132:O162" si="12">K132+M132</f>
        <v>1</v>
      </c>
      <c r="P132" s="13">
        <f t="shared" ref="P132:P158" si="13">O132/F132</f>
        <v>1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1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20">
        <f t="shared" ref="AC132:AC195" si="14">Q132+R132+S132+T132+U132+V132+W132+X132+Y132+Z132+AB132+AA132</f>
        <v>1</v>
      </c>
      <c r="AD132" s="13" t="s">
        <v>173</v>
      </c>
      <c r="AE132" s="13">
        <v>800</v>
      </c>
      <c r="AG132" s="16" t="s">
        <v>203</v>
      </c>
      <c r="AI132" s="13" t="s">
        <v>42</v>
      </c>
      <c r="AJ132" s="14" t="s">
        <v>204</v>
      </c>
      <c r="AK132" s="15" t="s">
        <v>212</v>
      </c>
    </row>
    <row r="133" spans="1:37">
      <c r="A133" s="1">
        <v>8</v>
      </c>
      <c r="B133" s="16" t="s">
        <v>202</v>
      </c>
      <c r="C133" s="22" t="s">
        <v>165</v>
      </c>
      <c r="D133" s="14">
        <v>2009</v>
      </c>
      <c r="E133" s="21">
        <v>8.49</v>
      </c>
      <c r="F133" s="15">
        <v>1</v>
      </c>
      <c r="G133" s="16" t="s">
        <v>421</v>
      </c>
      <c r="H133" s="14" t="s">
        <v>621</v>
      </c>
      <c r="I133" s="13" t="s">
        <v>25</v>
      </c>
      <c r="J133" s="13">
        <v>0</v>
      </c>
      <c r="K133" s="16">
        <v>3</v>
      </c>
      <c r="L133" s="13">
        <f t="shared" si="10"/>
        <v>3</v>
      </c>
      <c r="M133" s="13">
        <v>1</v>
      </c>
      <c r="N133" s="13">
        <f t="shared" si="11"/>
        <v>1</v>
      </c>
      <c r="O133" s="13">
        <f t="shared" si="12"/>
        <v>4</v>
      </c>
      <c r="P133" s="13">
        <f t="shared" si="13"/>
        <v>4</v>
      </c>
      <c r="Q133" s="18">
        <v>1</v>
      </c>
      <c r="R133" s="18">
        <v>0</v>
      </c>
      <c r="S133" s="18">
        <v>0</v>
      </c>
      <c r="T133" s="18">
        <v>0</v>
      </c>
      <c r="U133" s="18">
        <v>0</v>
      </c>
      <c r="V133" s="18">
        <v>1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20">
        <f t="shared" si="14"/>
        <v>2</v>
      </c>
      <c r="AD133" s="13" t="s">
        <v>123</v>
      </c>
      <c r="AE133" s="13" t="s">
        <v>213</v>
      </c>
      <c r="AG133" s="16" t="s">
        <v>203</v>
      </c>
      <c r="AI133" s="13" t="s">
        <v>42</v>
      </c>
      <c r="AJ133" s="14" t="s">
        <v>204</v>
      </c>
      <c r="AK133" s="15" t="s">
        <v>214</v>
      </c>
    </row>
    <row r="134" spans="1:37">
      <c r="A134" s="1">
        <v>9</v>
      </c>
      <c r="B134" s="16" t="s">
        <v>202</v>
      </c>
      <c r="C134" s="13" t="s">
        <v>165</v>
      </c>
      <c r="D134" s="14">
        <v>2009</v>
      </c>
      <c r="E134" s="21">
        <v>8.51</v>
      </c>
      <c r="F134" s="15">
        <v>1</v>
      </c>
      <c r="G134" s="16" t="s">
        <v>422</v>
      </c>
      <c r="H134" s="14" t="s">
        <v>622</v>
      </c>
      <c r="I134" s="13" t="s">
        <v>25</v>
      </c>
      <c r="J134" s="13">
        <v>0</v>
      </c>
      <c r="K134" s="16">
        <v>1</v>
      </c>
      <c r="L134" s="13">
        <f t="shared" si="10"/>
        <v>1</v>
      </c>
      <c r="M134" s="13">
        <v>0</v>
      </c>
      <c r="N134" s="13">
        <f t="shared" si="11"/>
        <v>0</v>
      </c>
      <c r="O134" s="13">
        <f t="shared" si="12"/>
        <v>1</v>
      </c>
      <c r="P134" s="13">
        <f t="shared" si="13"/>
        <v>1</v>
      </c>
      <c r="Q134" s="18">
        <v>1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20">
        <f t="shared" si="14"/>
        <v>1</v>
      </c>
      <c r="AD134" s="13" t="s">
        <v>170</v>
      </c>
      <c r="AE134" s="13">
        <v>1500</v>
      </c>
      <c r="AG134" s="16" t="s">
        <v>203</v>
      </c>
      <c r="AI134" s="13" t="s">
        <v>42</v>
      </c>
      <c r="AJ134" s="14" t="s">
        <v>204</v>
      </c>
      <c r="AK134" s="15" t="s">
        <v>215</v>
      </c>
    </row>
    <row r="135" spans="1:37">
      <c r="A135" s="1">
        <v>10</v>
      </c>
      <c r="B135" s="16" t="s">
        <v>202</v>
      </c>
      <c r="C135" s="22" t="s">
        <v>165</v>
      </c>
      <c r="D135" s="14">
        <v>2009</v>
      </c>
      <c r="E135" s="21">
        <v>8.5299999999999994</v>
      </c>
      <c r="F135" s="15">
        <v>1</v>
      </c>
      <c r="G135" s="16" t="s">
        <v>423</v>
      </c>
      <c r="H135" s="14" t="s">
        <v>623</v>
      </c>
      <c r="I135" s="13" t="s">
        <v>25</v>
      </c>
      <c r="J135" s="13">
        <v>0</v>
      </c>
      <c r="K135" s="16">
        <v>2</v>
      </c>
      <c r="L135" s="13">
        <f t="shared" si="10"/>
        <v>2</v>
      </c>
      <c r="M135" s="13">
        <v>1</v>
      </c>
      <c r="N135" s="13">
        <f t="shared" si="11"/>
        <v>1</v>
      </c>
      <c r="O135" s="13">
        <f t="shared" si="12"/>
        <v>3</v>
      </c>
      <c r="P135" s="13">
        <f t="shared" si="13"/>
        <v>3</v>
      </c>
      <c r="Q135" s="18">
        <v>1</v>
      </c>
      <c r="R135" s="18">
        <v>2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20">
        <f t="shared" si="14"/>
        <v>3</v>
      </c>
      <c r="AE135" s="13">
        <v>800</v>
      </c>
      <c r="AG135" s="16" t="s">
        <v>203</v>
      </c>
      <c r="AI135" s="13" t="s">
        <v>42</v>
      </c>
      <c r="AJ135" s="14" t="s">
        <v>204</v>
      </c>
      <c r="AK135" s="15" t="s">
        <v>215</v>
      </c>
    </row>
    <row r="136" spans="1:37">
      <c r="A136" s="1">
        <v>11</v>
      </c>
      <c r="B136" s="16" t="s">
        <v>202</v>
      </c>
      <c r="C136" s="13" t="s">
        <v>165</v>
      </c>
      <c r="D136" s="14">
        <v>2009</v>
      </c>
      <c r="E136" s="21">
        <v>9.16</v>
      </c>
      <c r="F136" s="15">
        <v>1</v>
      </c>
      <c r="G136" s="16" t="s">
        <v>424</v>
      </c>
      <c r="H136" s="14" t="s">
        <v>624</v>
      </c>
      <c r="I136" s="13" t="s">
        <v>25</v>
      </c>
      <c r="J136" s="13">
        <v>0</v>
      </c>
      <c r="K136" s="16">
        <v>2</v>
      </c>
      <c r="L136" s="13">
        <f t="shared" si="10"/>
        <v>2</v>
      </c>
      <c r="M136" s="13">
        <v>1</v>
      </c>
      <c r="N136" s="13">
        <f t="shared" si="11"/>
        <v>1</v>
      </c>
      <c r="O136" s="13">
        <f t="shared" si="12"/>
        <v>3</v>
      </c>
      <c r="P136" s="13">
        <f t="shared" si="13"/>
        <v>3</v>
      </c>
      <c r="Q136" s="18">
        <v>1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20">
        <f t="shared" si="14"/>
        <v>1</v>
      </c>
      <c r="AD136" s="13" t="s">
        <v>75</v>
      </c>
      <c r="AE136" s="13">
        <v>300</v>
      </c>
      <c r="AG136" s="16" t="s">
        <v>216</v>
      </c>
      <c r="AI136" s="13" t="s">
        <v>42</v>
      </c>
      <c r="AJ136" s="14" t="s">
        <v>204</v>
      </c>
      <c r="AK136" s="15" t="s">
        <v>217</v>
      </c>
    </row>
    <row r="137" spans="1:37">
      <c r="A137" s="1">
        <v>12</v>
      </c>
      <c r="B137" s="16" t="s">
        <v>202</v>
      </c>
      <c r="C137" s="22" t="s">
        <v>165</v>
      </c>
      <c r="D137" s="14">
        <v>2009</v>
      </c>
      <c r="E137" s="21">
        <v>9.2899999999999991</v>
      </c>
      <c r="F137" s="15">
        <v>1</v>
      </c>
      <c r="G137" s="16" t="s">
        <v>425</v>
      </c>
      <c r="H137" s="14" t="s">
        <v>625</v>
      </c>
      <c r="I137" s="13" t="s">
        <v>25</v>
      </c>
      <c r="J137" s="13">
        <v>0</v>
      </c>
      <c r="K137" s="16">
        <v>1</v>
      </c>
      <c r="L137" s="13">
        <f t="shared" si="10"/>
        <v>1</v>
      </c>
      <c r="M137" s="13">
        <v>0</v>
      </c>
      <c r="N137" s="13">
        <f t="shared" si="11"/>
        <v>0</v>
      </c>
      <c r="O137" s="13">
        <f t="shared" si="12"/>
        <v>1</v>
      </c>
      <c r="P137" s="13">
        <f t="shared" si="13"/>
        <v>1</v>
      </c>
      <c r="Q137" s="18">
        <v>1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20">
        <f t="shared" si="14"/>
        <v>1</v>
      </c>
      <c r="AD137" s="13" t="s">
        <v>75</v>
      </c>
      <c r="AE137" s="13">
        <v>1000</v>
      </c>
      <c r="AG137" s="16" t="s">
        <v>216</v>
      </c>
      <c r="AI137" s="13" t="s">
        <v>42</v>
      </c>
      <c r="AJ137" s="14" t="s">
        <v>204</v>
      </c>
      <c r="AK137" s="15" t="s">
        <v>218</v>
      </c>
    </row>
    <row r="138" spans="1:37">
      <c r="A138" s="1">
        <v>13</v>
      </c>
      <c r="B138" s="16" t="s">
        <v>202</v>
      </c>
      <c r="C138" s="13" t="s">
        <v>165</v>
      </c>
      <c r="D138" s="14">
        <v>2009</v>
      </c>
      <c r="E138" s="21">
        <v>9.33</v>
      </c>
      <c r="F138" s="15">
        <v>1</v>
      </c>
      <c r="G138" s="16" t="s">
        <v>426</v>
      </c>
      <c r="H138" s="14" t="s">
        <v>626</v>
      </c>
      <c r="I138" s="13" t="s">
        <v>25</v>
      </c>
      <c r="J138" s="13">
        <v>0</v>
      </c>
      <c r="K138" s="16">
        <v>1</v>
      </c>
      <c r="L138" s="13">
        <f t="shared" si="10"/>
        <v>1</v>
      </c>
      <c r="M138" s="13">
        <v>1</v>
      </c>
      <c r="N138" s="13">
        <f t="shared" si="11"/>
        <v>1</v>
      </c>
      <c r="O138" s="13">
        <f t="shared" si="12"/>
        <v>2</v>
      </c>
      <c r="P138" s="13">
        <f t="shared" si="13"/>
        <v>2</v>
      </c>
      <c r="Q138" s="18">
        <v>0</v>
      </c>
      <c r="R138" s="18">
        <v>2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20">
        <f t="shared" si="14"/>
        <v>2</v>
      </c>
      <c r="AD138" s="13" t="s">
        <v>170</v>
      </c>
      <c r="AE138" s="13">
        <v>900</v>
      </c>
      <c r="AG138" s="16" t="s">
        <v>216</v>
      </c>
      <c r="AI138" s="13" t="s">
        <v>42</v>
      </c>
      <c r="AJ138" s="14" t="s">
        <v>204</v>
      </c>
      <c r="AK138" s="15" t="s">
        <v>219</v>
      </c>
    </row>
    <row r="139" spans="1:37">
      <c r="A139" s="1">
        <v>14</v>
      </c>
      <c r="B139" s="16" t="s">
        <v>202</v>
      </c>
      <c r="C139" s="22" t="s">
        <v>165</v>
      </c>
      <c r="D139" s="14">
        <v>2009</v>
      </c>
      <c r="E139" s="21">
        <v>9.3699999999999992</v>
      </c>
      <c r="F139" s="15">
        <v>1</v>
      </c>
      <c r="G139" s="16" t="s">
        <v>427</v>
      </c>
      <c r="H139" s="14" t="s">
        <v>626</v>
      </c>
      <c r="I139" s="13" t="s">
        <v>25</v>
      </c>
      <c r="J139" s="13">
        <v>0</v>
      </c>
      <c r="K139" s="16">
        <v>1</v>
      </c>
      <c r="L139" s="13">
        <f t="shared" si="10"/>
        <v>1</v>
      </c>
      <c r="M139" s="13">
        <v>0</v>
      </c>
      <c r="N139" s="13">
        <f t="shared" si="11"/>
        <v>0</v>
      </c>
      <c r="O139" s="13">
        <f t="shared" si="12"/>
        <v>1</v>
      </c>
      <c r="P139" s="13">
        <f t="shared" si="13"/>
        <v>1</v>
      </c>
      <c r="Q139" s="18">
        <v>0</v>
      </c>
      <c r="R139" s="18">
        <v>1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20">
        <f t="shared" si="14"/>
        <v>1</v>
      </c>
      <c r="AD139" s="13" t="s">
        <v>173</v>
      </c>
      <c r="AE139" s="13">
        <v>1200</v>
      </c>
      <c r="AG139" s="16" t="s">
        <v>216</v>
      </c>
      <c r="AI139" s="13" t="s">
        <v>42</v>
      </c>
      <c r="AJ139" s="14" t="s">
        <v>204</v>
      </c>
      <c r="AK139" s="15" t="s">
        <v>219</v>
      </c>
    </row>
    <row r="140" spans="1:37">
      <c r="A140" s="1">
        <v>15</v>
      </c>
      <c r="B140" s="16" t="s">
        <v>202</v>
      </c>
      <c r="C140" s="13" t="s">
        <v>165</v>
      </c>
      <c r="D140" s="14">
        <v>2009</v>
      </c>
      <c r="E140" s="21">
        <v>9.39</v>
      </c>
      <c r="F140" s="15">
        <v>1</v>
      </c>
      <c r="G140" s="16" t="s">
        <v>428</v>
      </c>
      <c r="H140" s="14" t="s">
        <v>627</v>
      </c>
      <c r="I140" s="13" t="s">
        <v>25</v>
      </c>
      <c r="J140" s="13">
        <v>0</v>
      </c>
      <c r="K140" s="16">
        <v>1</v>
      </c>
      <c r="L140" s="13">
        <f t="shared" si="10"/>
        <v>1</v>
      </c>
      <c r="M140" s="13">
        <v>0</v>
      </c>
      <c r="N140" s="13">
        <f t="shared" si="11"/>
        <v>0</v>
      </c>
      <c r="O140" s="13">
        <f t="shared" si="12"/>
        <v>1</v>
      </c>
      <c r="P140" s="13">
        <f t="shared" si="13"/>
        <v>1</v>
      </c>
      <c r="Q140" s="18">
        <v>0</v>
      </c>
      <c r="R140" s="18">
        <v>1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20">
        <f t="shared" si="14"/>
        <v>1</v>
      </c>
      <c r="AD140" s="13" t="s">
        <v>52</v>
      </c>
      <c r="AE140" s="13">
        <v>800</v>
      </c>
      <c r="AG140" s="16" t="s">
        <v>216</v>
      </c>
      <c r="AI140" s="13" t="s">
        <v>42</v>
      </c>
      <c r="AJ140" s="14" t="s">
        <v>204</v>
      </c>
      <c r="AK140" s="15" t="s">
        <v>220</v>
      </c>
    </row>
    <row r="141" spans="1:37">
      <c r="A141" s="1">
        <v>16</v>
      </c>
      <c r="B141" s="16" t="s">
        <v>202</v>
      </c>
      <c r="C141" s="22" t="s">
        <v>165</v>
      </c>
      <c r="D141" s="14">
        <v>2009</v>
      </c>
      <c r="E141" s="21">
        <v>9.4499999999999993</v>
      </c>
      <c r="F141" s="15">
        <v>1</v>
      </c>
      <c r="G141" s="16" t="s">
        <v>429</v>
      </c>
      <c r="H141" s="14" t="s">
        <v>628</v>
      </c>
      <c r="I141" s="13" t="s">
        <v>25</v>
      </c>
      <c r="J141" s="13">
        <v>0</v>
      </c>
      <c r="K141" s="16">
        <v>10</v>
      </c>
      <c r="L141" s="13">
        <f t="shared" si="10"/>
        <v>10</v>
      </c>
      <c r="M141" s="13">
        <v>2</v>
      </c>
      <c r="N141" s="13">
        <f t="shared" si="11"/>
        <v>2</v>
      </c>
      <c r="O141" s="13">
        <f t="shared" si="12"/>
        <v>12</v>
      </c>
      <c r="P141" s="13">
        <f t="shared" si="13"/>
        <v>12</v>
      </c>
      <c r="AC141" s="20">
        <f t="shared" si="14"/>
        <v>0</v>
      </c>
      <c r="AD141" s="13" t="s">
        <v>123</v>
      </c>
      <c r="AE141" s="13" t="s">
        <v>123</v>
      </c>
      <c r="AG141" s="16" t="s">
        <v>216</v>
      </c>
      <c r="AI141" s="13" t="s">
        <v>42</v>
      </c>
      <c r="AJ141" s="14" t="s">
        <v>204</v>
      </c>
      <c r="AK141" s="15" t="s">
        <v>221</v>
      </c>
    </row>
    <row r="142" spans="1:37">
      <c r="A142" s="1">
        <v>17</v>
      </c>
      <c r="B142" s="16" t="s">
        <v>202</v>
      </c>
      <c r="C142" s="13" t="s">
        <v>165</v>
      </c>
      <c r="D142" s="14">
        <v>2009</v>
      </c>
      <c r="E142" s="21">
        <v>10.210000000000001</v>
      </c>
      <c r="F142" s="15">
        <v>1</v>
      </c>
      <c r="G142" s="16" t="s">
        <v>430</v>
      </c>
      <c r="H142" s="14" t="s">
        <v>629</v>
      </c>
      <c r="I142" s="13" t="s">
        <v>25</v>
      </c>
      <c r="J142" s="13">
        <v>0</v>
      </c>
      <c r="K142" s="16">
        <v>2</v>
      </c>
      <c r="L142" s="13">
        <f t="shared" si="10"/>
        <v>2</v>
      </c>
      <c r="M142" s="13">
        <v>1</v>
      </c>
      <c r="N142" s="13">
        <f t="shared" si="11"/>
        <v>1</v>
      </c>
      <c r="O142" s="13">
        <f t="shared" si="12"/>
        <v>3</v>
      </c>
      <c r="P142" s="13">
        <f t="shared" si="13"/>
        <v>3</v>
      </c>
      <c r="Q142" s="18">
        <v>3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20">
        <f t="shared" si="14"/>
        <v>3</v>
      </c>
      <c r="AD142" s="13" t="s">
        <v>75</v>
      </c>
      <c r="AE142" s="13">
        <v>400</v>
      </c>
      <c r="AG142" s="16" t="s">
        <v>216</v>
      </c>
      <c r="AI142" s="13" t="s">
        <v>42</v>
      </c>
      <c r="AJ142" s="14" t="s">
        <v>204</v>
      </c>
      <c r="AK142" s="15" t="s">
        <v>222</v>
      </c>
    </row>
    <row r="143" spans="1:37">
      <c r="A143" s="1">
        <v>18</v>
      </c>
      <c r="B143" s="16" t="s">
        <v>202</v>
      </c>
      <c r="C143" s="22" t="s">
        <v>165</v>
      </c>
      <c r="D143" s="14">
        <v>2009</v>
      </c>
      <c r="E143" s="21">
        <v>10.31</v>
      </c>
      <c r="F143" s="15">
        <v>1</v>
      </c>
      <c r="G143" s="16" t="s">
        <v>431</v>
      </c>
      <c r="H143" s="14" t="s">
        <v>630</v>
      </c>
      <c r="I143" s="13" t="s">
        <v>25</v>
      </c>
      <c r="J143" s="13">
        <v>0</v>
      </c>
      <c r="K143" s="16">
        <v>1</v>
      </c>
      <c r="L143" s="13">
        <f t="shared" si="10"/>
        <v>1</v>
      </c>
      <c r="M143" s="13">
        <v>0</v>
      </c>
      <c r="N143" s="13">
        <f t="shared" si="11"/>
        <v>0</v>
      </c>
      <c r="O143" s="13">
        <f t="shared" si="12"/>
        <v>1</v>
      </c>
      <c r="P143" s="13">
        <f t="shared" si="13"/>
        <v>1</v>
      </c>
      <c r="Q143" s="18">
        <v>1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20">
        <f t="shared" si="14"/>
        <v>1</v>
      </c>
      <c r="AD143" s="13" t="s">
        <v>223</v>
      </c>
      <c r="AE143" s="13">
        <v>1900</v>
      </c>
      <c r="AG143" s="16" t="s">
        <v>216</v>
      </c>
      <c r="AI143" s="13" t="s">
        <v>42</v>
      </c>
      <c r="AJ143" s="14" t="s">
        <v>204</v>
      </c>
      <c r="AK143" s="15" t="s">
        <v>224</v>
      </c>
    </row>
    <row r="144" spans="1:37">
      <c r="A144" s="1">
        <v>19</v>
      </c>
      <c r="B144" s="16" t="s">
        <v>202</v>
      </c>
      <c r="C144" s="13" t="s">
        <v>165</v>
      </c>
      <c r="D144" s="14">
        <v>2009</v>
      </c>
      <c r="E144" s="21">
        <v>10.47</v>
      </c>
      <c r="F144" s="15">
        <v>1</v>
      </c>
      <c r="G144" s="16" t="s">
        <v>432</v>
      </c>
      <c r="H144" s="14" t="s">
        <v>631</v>
      </c>
      <c r="I144" s="13" t="s">
        <v>25</v>
      </c>
      <c r="J144" s="13">
        <v>0</v>
      </c>
      <c r="K144" s="16">
        <v>1</v>
      </c>
      <c r="L144" s="13">
        <f t="shared" si="10"/>
        <v>1</v>
      </c>
      <c r="M144" s="13">
        <v>1</v>
      </c>
      <c r="N144" s="13">
        <f t="shared" si="11"/>
        <v>1</v>
      </c>
      <c r="O144" s="13">
        <f t="shared" si="12"/>
        <v>2</v>
      </c>
      <c r="P144" s="13">
        <f t="shared" si="13"/>
        <v>2</v>
      </c>
      <c r="Q144" s="18">
        <v>0</v>
      </c>
      <c r="R144" s="18">
        <v>0</v>
      </c>
      <c r="S144" s="18">
        <v>0</v>
      </c>
      <c r="T144" s="18">
        <v>0</v>
      </c>
      <c r="U144" s="18">
        <v>2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20">
        <f t="shared" si="14"/>
        <v>2</v>
      </c>
      <c r="AD144" s="13" t="s">
        <v>108</v>
      </c>
      <c r="AE144" s="13">
        <v>50</v>
      </c>
      <c r="AG144" s="16" t="s">
        <v>216</v>
      </c>
      <c r="AI144" s="13" t="s">
        <v>42</v>
      </c>
      <c r="AJ144" s="14" t="s">
        <v>204</v>
      </c>
      <c r="AK144" s="15" t="s">
        <v>225</v>
      </c>
    </row>
    <row r="145" spans="1:37">
      <c r="A145" s="1">
        <v>20</v>
      </c>
      <c r="B145" s="16" t="s">
        <v>202</v>
      </c>
      <c r="C145" s="22" t="s">
        <v>165</v>
      </c>
      <c r="D145" s="14">
        <v>2009</v>
      </c>
      <c r="E145" s="21">
        <v>10.49</v>
      </c>
      <c r="F145" s="15">
        <v>1</v>
      </c>
      <c r="G145" s="16" t="s">
        <v>433</v>
      </c>
      <c r="H145" s="14" t="s">
        <v>632</v>
      </c>
      <c r="I145" s="13" t="s">
        <v>25</v>
      </c>
      <c r="J145" s="13">
        <v>0</v>
      </c>
      <c r="K145" s="16">
        <v>2</v>
      </c>
      <c r="L145" s="13">
        <f t="shared" si="10"/>
        <v>2</v>
      </c>
      <c r="M145" s="13">
        <v>1</v>
      </c>
      <c r="N145" s="13">
        <f t="shared" si="11"/>
        <v>1</v>
      </c>
      <c r="O145" s="13">
        <f t="shared" si="12"/>
        <v>3</v>
      </c>
      <c r="P145" s="13">
        <f t="shared" si="13"/>
        <v>3</v>
      </c>
      <c r="Q145" s="18">
        <v>0</v>
      </c>
      <c r="R145" s="18">
        <v>0</v>
      </c>
      <c r="S145" s="18">
        <v>0</v>
      </c>
      <c r="T145" s="18">
        <v>0</v>
      </c>
      <c r="U145" s="18">
        <v>2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20">
        <f t="shared" si="14"/>
        <v>2</v>
      </c>
      <c r="AD145" s="13" t="s">
        <v>226</v>
      </c>
      <c r="AE145" s="13">
        <v>100</v>
      </c>
      <c r="AG145" s="16" t="s">
        <v>216</v>
      </c>
      <c r="AI145" s="13" t="s">
        <v>42</v>
      </c>
      <c r="AJ145" s="14" t="s">
        <v>204</v>
      </c>
      <c r="AK145" s="15" t="s">
        <v>227</v>
      </c>
    </row>
    <row r="146" spans="1:37">
      <c r="A146" s="1">
        <v>21</v>
      </c>
      <c r="B146" s="16" t="s">
        <v>202</v>
      </c>
      <c r="C146" s="13" t="s">
        <v>165</v>
      </c>
      <c r="D146" s="14">
        <v>2009</v>
      </c>
      <c r="E146" s="21">
        <v>11</v>
      </c>
      <c r="F146" s="15">
        <v>1</v>
      </c>
      <c r="G146" s="16" t="s">
        <v>434</v>
      </c>
      <c r="H146" s="14" t="s">
        <v>633</v>
      </c>
      <c r="I146" s="13" t="s">
        <v>25</v>
      </c>
      <c r="J146" s="13">
        <v>0</v>
      </c>
      <c r="K146" s="16">
        <v>5</v>
      </c>
      <c r="L146" s="13">
        <f t="shared" si="10"/>
        <v>5</v>
      </c>
      <c r="M146" s="13">
        <v>3</v>
      </c>
      <c r="N146" s="13">
        <f t="shared" si="11"/>
        <v>3</v>
      </c>
      <c r="O146" s="13">
        <f t="shared" si="12"/>
        <v>8</v>
      </c>
      <c r="P146" s="13">
        <f t="shared" si="13"/>
        <v>8</v>
      </c>
      <c r="Q146" s="18">
        <v>1</v>
      </c>
      <c r="R146" s="18">
        <v>0</v>
      </c>
      <c r="S146" s="18">
        <v>0</v>
      </c>
      <c r="T146" s="18">
        <v>0</v>
      </c>
      <c r="U146" s="18">
        <v>1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1</v>
      </c>
      <c r="AC146" s="20">
        <f t="shared" si="14"/>
        <v>3</v>
      </c>
      <c r="AE146" s="13" t="s">
        <v>228</v>
      </c>
      <c r="AG146" s="16" t="s">
        <v>203</v>
      </c>
      <c r="AI146" s="13" t="s">
        <v>42</v>
      </c>
      <c r="AJ146" s="14" t="s">
        <v>168</v>
      </c>
      <c r="AK146" s="15" t="s">
        <v>229</v>
      </c>
    </row>
    <row r="147" spans="1:37">
      <c r="A147" s="1">
        <v>22</v>
      </c>
      <c r="B147" s="16" t="s">
        <v>202</v>
      </c>
      <c r="C147" s="22" t="s">
        <v>165</v>
      </c>
      <c r="D147" s="14">
        <v>2009</v>
      </c>
      <c r="E147" s="21">
        <v>11.14</v>
      </c>
      <c r="F147" s="15">
        <v>1</v>
      </c>
      <c r="G147" s="16" t="s">
        <v>435</v>
      </c>
      <c r="H147" s="14" t="s">
        <v>634</v>
      </c>
      <c r="I147" s="13" t="s">
        <v>25</v>
      </c>
      <c r="J147" s="13">
        <v>0</v>
      </c>
      <c r="K147" s="16">
        <v>1</v>
      </c>
      <c r="L147" s="13">
        <f t="shared" si="10"/>
        <v>1</v>
      </c>
      <c r="M147" s="13">
        <v>1</v>
      </c>
      <c r="N147" s="13">
        <f t="shared" si="11"/>
        <v>1</v>
      </c>
      <c r="O147" s="13">
        <f t="shared" si="12"/>
        <v>2</v>
      </c>
      <c r="P147" s="13">
        <f t="shared" si="13"/>
        <v>2</v>
      </c>
      <c r="Q147" s="18">
        <v>2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20">
        <f t="shared" si="14"/>
        <v>2</v>
      </c>
      <c r="AD147" s="13" t="s">
        <v>108</v>
      </c>
      <c r="AE147" s="13">
        <v>300</v>
      </c>
      <c r="AG147" s="16" t="s">
        <v>203</v>
      </c>
      <c r="AI147" s="13" t="s">
        <v>42</v>
      </c>
      <c r="AJ147" s="14" t="s">
        <v>168</v>
      </c>
      <c r="AK147" s="15" t="s">
        <v>230</v>
      </c>
    </row>
    <row r="148" spans="1:37">
      <c r="A148" s="1">
        <v>23</v>
      </c>
      <c r="B148" s="16" t="s">
        <v>202</v>
      </c>
      <c r="C148" s="13" t="s">
        <v>165</v>
      </c>
      <c r="D148" s="14">
        <v>2009</v>
      </c>
      <c r="E148" s="21">
        <v>11.16</v>
      </c>
      <c r="F148" s="15">
        <v>1</v>
      </c>
      <c r="G148" s="16" t="s">
        <v>436</v>
      </c>
      <c r="H148" s="14" t="s">
        <v>635</v>
      </c>
      <c r="I148" s="13" t="s">
        <v>25</v>
      </c>
      <c r="J148" s="13">
        <v>0</v>
      </c>
      <c r="K148" s="16">
        <v>2</v>
      </c>
      <c r="L148" s="13">
        <f t="shared" si="10"/>
        <v>2</v>
      </c>
      <c r="M148" s="13">
        <v>1</v>
      </c>
      <c r="N148" s="13">
        <f t="shared" si="11"/>
        <v>1</v>
      </c>
      <c r="O148" s="13">
        <f t="shared" si="12"/>
        <v>3</v>
      </c>
      <c r="P148" s="13">
        <f t="shared" si="13"/>
        <v>3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3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20">
        <f t="shared" si="14"/>
        <v>3</v>
      </c>
      <c r="AD148" s="13" t="s">
        <v>75</v>
      </c>
      <c r="AE148" s="13">
        <v>400</v>
      </c>
      <c r="AF148" s="14" t="s">
        <v>65</v>
      </c>
      <c r="AG148" s="16" t="s">
        <v>203</v>
      </c>
      <c r="AI148" s="13" t="s">
        <v>42</v>
      </c>
      <c r="AJ148" s="14" t="s">
        <v>168</v>
      </c>
      <c r="AK148" s="15" t="s">
        <v>231</v>
      </c>
    </row>
    <row r="149" spans="1:37">
      <c r="A149" s="1">
        <v>24</v>
      </c>
      <c r="B149" s="16" t="s">
        <v>202</v>
      </c>
      <c r="C149" s="22" t="s">
        <v>165</v>
      </c>
      <c r="D149" s="14">
        <v>2009</v>
      </c>
      <c r="E149" s="21">
        <v>11.19</v>
      </c>
      <c r="F149" s="15">
        <v>1</v>
      </c>
      <c r="G149" s="16" t="s">
        <v>437</v>
      </c>
      <c r="H149" s="14" t="s">
        <v>636</v>
      </c>
      <c r="I149" s="13" t="s">
        <v>25</v>
      </c>
      <c r="J149" s="13">
        <v>0</v>
      </c>
      <c r="K149" s="16">
        <v>1</v>
      </c>
      <c r="L149" s="13">
        <f t="shared" si="10"/>
        <v>1</v>
      </c>
      <c r="M149" s="13">
        <v>1</v>
      </c>
      <c r="N149" s="13">
        <f t="shared" si="11"/>
        <v>1</v>
      </c>
      <c r="O149" s="13">
        <f t="shared" si="12"/>
        <v>2</v>
      </c>
      <c r="P149" s="13">
        <f t="shared" si="13"/>
        <v>2</v>
      </c>
      <c r="Q149" s="18">
        <v>0</v>
      </c>
      <c r="R149" s="18">
        <v>1</v>
      </c>
      <c r="S149" s="18">
        <v>0</v>
      </c>
      <c r="T149" s="18">
        <v>0</v>
      </c>
      <c r="U149" s="18">
        <v>0</v>
      </c>
      <c r="V149" s="18">
        <v>1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20">
        <f t="shared" si="14"/>
        <v>2</v>
      </c>
      <c r="AD149" s="13" t="s">
        <v>170</v>
      </c>
      <c r="AE149" s="13">
        <v>300</v>
      </c>
      <c r="AF149" s="14" t="s">
        <v>65</v>
      </c>
      <c r="AG149" s="16" t="s">
        <v>203</v>
      </c>
      <c r="AI149" s="13" t="s">
        <v>42</v>
      </c>
      <c r="AJ149" s="14" t="s">
        <v>168</v>
      </c>
      <c r="AK149" s="15" t="s">
        <v>231</v>
      </c>
    </row>
    <row r="150" spans="1:37">
      <c r="A150" s="1">
        <v>25</v>
      </c>
      <c r="B150" s="16" t="s">
        <v>202</v>
      </c>
      <c r="C150" s="13" t="s">
        <v>165</v>
      </c>
      <c r="D150" s="14">
        <v>2009</v>
      </c>
      <c r="E150" s="21">
        <v>11.22</v>
      </c>
      <c r="F150" s="15">
        <v>1</v>
      </c>
      <c r="G150" s="16" t="s">
        <v>438</v>
      </c>
      <c r="H150" s="14" t="s">
        <v>637</v>
      </c>
      <c r="I150" s="13" t="s">
        <v>25</v>
      </c>
      <c r="J150" s="13">
        <v>0</v>
      </c>
      <c r="K150" s="16">
        <v>2</v>
      </c>
      <c r="L150" s="13">
        <f t="shared" si="10"/>
        <v>2</v>
      </c>
      <c r="M150" s="13">
        <v>1</v>
      </c>
      <c r="N150" s="13">
        <f t="shared" si="11"/>
        <v>1</v>
      </c>
      <c r="O150" s="13">
        <f t="shared" si="12"/>
        <v>3</v>
      </c>
      <c r="P150" s="13">
        <f t="shared" si="13"/>
        <v>3</v>
      </c>
      <c r="Q150" s="18">
        <v>0</v>
      </c>
      <c r="R150" s="18">
        <v>1</v>
      </c>
      <c r="S150" s="18">
        <v>0</v>
      </c>
      <c r="T150" s="18">
        <v>0</v>
      </c>
      <c r="U150" s="18">
        <v>0</v>
      </c>
      <c r="V150" s="18">
        <v>1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20">
        <f t="shared" si="14"/>
        <v>2</v>
      </c>
      <c r="AD150" s="13" t="s">
        <v>75</v>
      </c>
      <c r="AE150" s="13">
        <v>700</v>
      </c>
      <c r="AF150" s="14" t="s">
        <v>65</v>
      </c>
      <c r="AG150" s="16" t="s">
        <v>203</v>
      </c>
      <c r="AI150" s="13" t="s">
        <v>42</v>
      </c>
      <c r="AJ150" s="14" t="s">
        <v>168</v>
      </c>
      <c r="AK150" s="15" t="s">
        <v>232</v>
      </c>
    </row>
    <row r="151" spans="1:37">
      <c r="A151" s="1">
        <v>26</v>
      </c>
      <c r="B151" s="16" t="s">
        <v>202</v>
      </c>
      <c r="C151" s="22" t="s">
        <v>165</v>
      </c>
      <c r="D151" s="14">
        <v>2009</v>
      </c>
      <c r="E151" s="21">
        <v>11.26</v>
      </c>
      <c r="F151" s="15">
        <v>1</v>
      </c>
      <c r="G151" s="16" t="s">
        <v>439</v>
      </c>
      <c r="H151" s="14" t="s">
        <v>638</v>
      </c>
      <c r="I151" s="13" t="s">
        <v>25</v>
      </c>
      <c r="J151" s="13">
        <v>0</v>
      </c>
      <c r="K151" s="16">
        <v>1</v>
      </c>
      <c r="L151" s="13">
        <f t="shared" si="10"/>
        <v>1</v>
      </c>
      <c r="M151" s="13">
        <v>1</v>
      </c>
      <c r="N151" s="13">
        <f t="shared" si="11"/>
        <v>1</v>
      </c>
      <c r="O151" s="13">
        <f t="shared" si="12"/>
        <v>2</v>
      </c>
      <c r="P151" s="13">
        <f t="shared" si="13"/>
        <v>2</v>
      </c>
      <c r="Q151" s="18">
        <v>0</v>
      </c>
      <c r="R151" s="18">
        <v>1</v>
      </c>
      <c r="S151" s="18">
        <v>0</v>
      </c>
      <c r="T151" s="18">
        <v>0</v>
      </c>
      <c r="U151" s="18">
        <v>1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20">
        <f t="shared" si="14"/>
        <v>2</v>
      </c>
      <c r="AD151" s="13" t="s">
        <v>226</v>
      </c>
      <c r="AE151" s="13">
        <v>300</v>
      </c>
      <c r="AG151" s="16" t="s">
        <v>203</v>
      </c>
      <c r="AI151" s="13" t="s">
        <v>42</v>
      </c>
      <c r="AJ151" s="14" t="s">
        <v>168</v>
      </c>
      <c r="AK151" s="15" t="s">
        <v>233</v>
      </c>
    </row>
    <row r="152" spans="1:37">
      <c r="A152" s="1">
        <v>27</v>
      </c>
      <c r="B152" s="16" t="s">
        <v>202</v>
      </c>
      <c r="C152" s="13" t="s">
        <v>165</v>
      </c>
      <c r="D152" s="14">
        <v>2009</v>
      </c>
      <c r="E152" s="21">
        <v>11.27</v>
      </c>
      <c r="F152" s="15">
        <v>1</v>
      </c>
      <c r="G152" s="16" t="s">
        <v>440</v>
      </c>
      <c r="H152" s="14" t="s">
        <v>639</v>
      </c>
      <c r="I152" s="13" t="s">
        <v>25</v>
      </c>
      <c r="J152" s="13">
        <v>0</v>
      </c>
      <c r="K152" s="16">
        <v>2</v>
      </c>
      <c r="L152" s="13">
        <f t="shared" si="10"/>
        <v>2</v>
      </c>
      <c r="M152" s="13">
        <v>0</v>
      </c>
      <c r="N152" s="13">
        <f t="shared" si="11"/>
        <v>0</v>
      </c>
      <c r="O152" s="13">
        <f t="shared" si="12"/>
        <v>2</v>
      </c>
      <c r="P152" s="13">
        <f t="shared" si="13"/>
        <v>2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2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20">
        <f t="shared" si="14"/>
        <v>2</v>
      </c>
      <c r="AD152" s="13" t="s">
        <v>75</v>
      </c>
      <c r="AE152" s="13">
        <v>1000</v>
      </c>
      <c r="AF152" s="14" t="s">
        <v>65</v>
      </c>
      <c r="AG152" s="16" t="s">
        <v>203</v>
      </c>
      <c r="AI152" s="13" t="s">
        <v>42</v>
      </c>
      <c r="AJ152" s="14" t="s">
        <v>168</v>
      </c>
      <c r="AK152" s="15" t="s">
        <v>234</v>
      </c>
    </row>
    <row r="153" spans="1:37">
      <c r="A153" s="1">
        <v>28</v>
      </c>
      <c r="B153" s="16" t="s">
        <v>202</v>
      </c>
      <c r="C153" s="22" t="s">
        <v>165</v>
      </c>
      <c r="D153" s="14">
        <v>2009</v>
      </c>
      <c r="E153" s="21">
        <v>11.29</v>
      </c>
      <c r="F153" s="15">
        <v>1</v>
      </c>
      <c r="G153" s="16" t="s">
        <v>441</v>
      </c>
      <c r="H153" s="14" t="s">
        <v>640</v>
      </c>
      <c r="I153" s="13" t="s">
        <v>25</v>
      </c>
      <c r="J153" s="13">
        <v>0</v>
      </c>
      <c r="K153" s="16">
        <v>1</v>
      </c>
      <c r="L153" s="13">
        <f t="shared" si="10"/>
        <v>1</v>
      </c>
      <c r="M153" s="13">
        <v>1</v>
      </c>
      <c r="N153" s="13">
        <f t="shared" si="11"/>
        <v>1</v>
      </c>
      <c r="O153" s="13">
        <f t="shared" si="12"/>
        <v>2</v>
      </c>
      <c r="P153" s="13">
        <f t="shared" si="13"/>
        <v>2</v>
      </c>
      <c r="Q153" s="18">
        <v>0</v>
      </c>
      <c r="R153" s="18">
        <v>0</v>
      </c>
      <c r="S153" s="18">
        <v>0</v>
      </c>
      <c r="T153" s="18">
        <v>0</v>
      </c>
      <c r="U153" s="18">
        <v>2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20">
        <f t="shared" si="14"/>
        <v>2</v>
      </c>
      <c r="AD153" s="13" t="s">
        <v>226</v>
      </c>
      <c r="AE153" s="13">
        <v>80</v>
      </c>
      <c r="AG153" s="16" t="s">
        <v>203</v>
      </c>
      <c r="AI153" s="13" t="s">
        <v>42</v>
      </c>
      <c r="AJ153" s="14" t="s">
        <v>168</v>
      </c>
      <c r="AK153" s="15" t="s">
        <v>235</v>
      </c>
    </row>
    <row r="154" spans="1:37">
      <c r="A154" s="1">
        <v>29</v>
      </c>
      <c r="B154" s="16" t="s">
        <v>202</v>
      </c>
      <c r="C154" s="13" t="s">
        <v>165</v>
      </c>
      <c r="D154" s="14">
        <v>2009</v>
      </c>
      <c r="E154" s="21">
        <v>11.32</v>
      </c>
      <c r="F154" s="15">
        <v>1</v>
      </c>
      <c r="G154" s="16" t="s">
        <v>442</v>
      </c>
      <c r="H154" s="14" t="s">
        <v>641</v>
      </c>
      <c r="I154" s="13" t="s">
        <v>25</v>
      </c>
      <c r="J154" s="13">
        <v>0</v>
      </c>
      <c r="K154" s="16">
        <v>1</v>
      </c>
      <c r="L154" s="13">
        <f t="shared" si="10"/>
        <v>1</v>
      </c>
      <c r="M154" s="13">
        <v>1</v>
      </c>
      <c r="N154" s="13">
        <f t="shared" si="11"/>
        <v>1</v>
      </c>
      <c r="O154" s="13">
        <f t="shared" si="12"/>
        <v>2</v>
      </c>
      <c r="P154" s="13">
        <f t="shared" si="13"/>
        <v>2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2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20">
        <f t="shared" si="14"/>
        <v>2</v>
      </c>
      <c r="AD154" s="13" t="s">
        <v>170</v>
      </c>
      <c r="AE154" s="13">
        <v>200</v>
      </c>
      <c r="AG154" s="16" t="s">
        <v>203</v>
      </c>
      <c r="AI154" s="13" t="s">
        <v>42</v>
      </c>
      <c r="AJ154" s="14" t="s">
        <v>168</v>
      </c>
      <c r="AK154" s="15" t="s">
        <v>236</v>
      </c>
    </row>
    <row r="155" spans="1:37">
      <c r="A155" s="1">
        <v>30</v>
      </c>
      <c r="B155" s="16" t="s">
        <v>202</v>
      </c>
      <c r="C155" s="22" t="s">
        <v>165</v>
      </c>
      <c r="D155" s="14">
        <v>2009</v>
      </c>
      <c r="E155" s="21">
        <v>11.33</v>
      </c>
      <c r="F155" s="15">
        <v>1</v>
      </c>
      <c r="G155" s="16" t="s">
        <v>443</v>
      </c>
      <c r="H155" s="14" t="s">
        <v>642</v>
      </c>
      <c r="I155" s="13" t="s">
        <v>25</v>
      </c>
      <c r="J155" s="13">
        <v>0</v>
      </c>
      <c r="K155" s="16">
        <v>2</v>
      </c>
      <c r="L155" s="13">
        <f t="shared" si="10"/>
        <v>2</v>
      </c>
      <c r="M155" s="13">
        <v>1</v>
      </c>
      <c r="N155" s="13">
        <f t="shared" si="11"/>
        <v>1</v>
      </c>
      <c r="O155" s="13">
        <f t="shared" si="12"/>
        <v>3</v>
      </c>
      <c r="P155" s="13">
        <f t="shared" si="13"/>
        <v>3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3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20">
        <f t="shared" si="14"/>
        <v>3</v>
      </c>
      <c r="AD155" s="13" t="s">
        <v>226</v>
      </c>
      <c r="AE155" s="13">
        <v>350</v>
      </c>
      <c r="AG155" s="16" t="s">
        <v>203</v>
      </c>
      <c r="AI155" s="13" t="s">
        <v>42</v>
      </c>
      <c r="AJ155" s="14" t="s">
        <v>168</v>
      </c>
      <c r="AK155" s="15" t="s">
        <v>237</v>
      </c>
    </row>
    <row r="156" spans="1:37">
      <c r="A156" s="1">
        <v>31</v>
      </c>
      <c r="B156" s="16" t="s">
        <v>202</v>
      </c>
      <c r="C156" s="13" t="s">
        <v>165</v>
      </c>
      <c r="D156" s="14">
        <v>2009</v>
      </c>
      <c r="E156" s="21">
        <v>11.4</v>
      </c>
      <c r="F156" s="15">
        <v>1</v>
      </c>
      <c r="G156" s="16" t="s">
        <v>444</v>
      </c>
      <c r="H156" s="14" t="s">
        <v>643</v>
      </c>
      <c r="I156" s="13" t="s">
        <v>25</v>
      </c>
      <c r="J156" s="13">
        <v>0</v>
      </c>
      <c r="K156" s="16">
        <v>4</v>
      </c>
      <c r="L156" s="13">
        <f t="shared" si="10"/>
        <v>4</v>
      </c>
      <c r="M156" s="13">
        <v>1</v>
      </c>
      <c r="N156" s="13">
        <f t="shared" si="11"/>
        <v>1</v>
      </c>
      <c r="O156" s="13">
        <f t="shared" si="12"/>
        <v>5</v>
      </c>
      <c r="P156" s="13">
        <f t="shared" si="13"/>
        <v>5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1</v>
      </c>
      <c r="AC156" s="20">
        <f t="shared" si="14"/>
        <v>1</v>
      </c>
      <c r="AE156" s="13" t="s">
        <v>239</v>
      </c>
      <c r="AG156" s="16" t="s">
        <v>203</v>
      </c>
      <c r="AI156" s="13" t="s">
        <v>42</v>
      </c>
      <c r="AJ156" s="14" t="s">
        <v>238</v>
      </c>
      <c r="AK156" s="15" t="s">
        <v>240</v>
      </c>
    </row>
    <row r="157" spans="1:37">
      <c r="A157" s="1">
        <v>32</v>
      </c>
      <c r="B157" s="16" t="s">
        <v>202</v>
      </c>
      <c r="C157" s="22" t="s">
        <v>165</v>
      </c>
      <c r="D157" s="14">
        <v>2009</v>
      </c>
      <c r="E157" s="21">
        <v>13.07</v>
      </c>
      <c r="F157" s="15">
        <v>1</v>
      </c>
      <c r="G157" s="16" t="s">
        <v>445</v>
      </c>
      <c r="H157" s="14" t="s">
        <v>644</v>
      </c>
      <c r="I157" s="13" t="s">
        <v>25</v>
      </c>
      <c r="J157" s="13">
        <v>0</v>
      </c>
      <c r="K157" s="16">
        <v>2</v>
      </c>
      <c r="L157" s="13">
        <f t="shared" si="10"/>
        <v>2</v>
      </c>
      <c r="M157" s="13">
        <v>0</v>
      </c>
      <c r="N157" s="13">
        <f t="shared" si="11"/>
        <v>0</v>
      </c>
      <c r="O157" s="13">
        <f t="shared" si="12"/>
        <v>2</v>
      </c>
      <c r="P157" s="13">
        <f t="shared" si="13"/>
        <v>2</v>
      </c>
      <c r="Q157" s="18">
        <v>1</v>
      </c>
      <c r="R157" s="18">
        <v>0</v>
      </c>
      <c r="S157" s="18">
        <v>0</v>
      </c>
      <c r="T157" s="18">
        <v>0</v>
      </c>
      <c r="U157" s="18">
        <v>0</v>
      </c>
      <c r="V157" s="18">
        <v>1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20">
        <f t="shared" si="14"/>
        <v>2</v>
      </c>
      <c r="AD157" s="13" t="s">
        <v>75</v>
      </c>
      <c r="AE157" s="13">
        <v>500</v>
      </c>
      <c r="AF157" s="14" t="s">
        <v>65</v>
      </c>
      <c r="AG157" s="16" t="s">
        <v>203</v>
      </c>
      <c r="AI157" s="13" t="s">
        <v>42</v>
      </c>
      <c r="AJ157" s="14" t="s">
        <v>238</v>
      </c>
      <c r="AK157" s="15" t="s">
        <v>241</v>
      </c>
    </row>
    <row r="158" spans="1:37">
      <c r="A158" s="1">
        <v>33</v>
      </c>
      <c r="B158" s="16" t="s">
        <v>202</v>
      </c>
      <c r="C158" s="13" t="s">
        <v>165</v>
      </c>
      <c r="D158" s="14">
        <v>2009</v>
      </c>
      <c r="E158" s="21">
        <v>13.09</v>
      </c>
      <c r="F158" s="15">
        <v>1</v>
      </c>
      <c r="G158" s="16" t="s">
        <v>446</v>
      </c>
      <c r="H158" s="14" t="s">
        <v>645</v>
      </c>
      <c r="I158" s="13" t="s">
        <v>25</v>
      </c>
      <c r="J158" s="13">
        <v>0</v>
      </c>
      <c r="K158" s="16">
        <v>1</v>
      </c>
      <c r="L158" s="13">
        <f t="shared" si="10"/>
        <v>1</v>
      </c>
      <c r="M158" s="13">
        <v>1</v>
      </c>
      <c r="N158" s="13">
        <f t="shared" si="11"/>
        <v>1</v>
      </c>
      <c r="O158" s="13">
        <f t="shared" si="12"/>
        <v>2</v>
      </c>
      <c r="P158" s="13">
        <f t="shared" si="13"/>
        <v>2</v>
      </c>
      <c r="Q158" s="18">
        <v>0</v>
      </c>
      <c r="R158" s="18">
        <v>1</v>
      </c>
      <c r="S158" s="18">
        <v>0</v>
      </c>
      <c r="T158" s="18">
        <v>0</v>
      </c>
      <c r="U158" s="18">
        <v>0</v>
      </c>
      <c r="V158" s="18">
        <v>1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20">
        <f t="shared" si="14"/>
        <v>2</v>
      </c>
      <c r="AD158" s="13" t="s">
        <v>170</v>
      </c>
      <c r="AE158" s="13">
        <v>300</v>
      </c>
      <c r="AF158" s="14" t="s">
        <v>65</v>
      </c>
      <c r="AG158" s="16" t="s">
        <v>203</v>
      </c>
      <c r="AI158" s="13" t="s">
        <v>42</v>
      </c>
      <c r="AJ158" s="14" t="s">
        <v>238</v>
      </c>
      <c r="AK158" s="15" t="s">
        <v>242</v>
      </c>
    </row>
    <row r="159" spans="1:37">
      <c r="A159" s="1">
        <v>34</v>
      </c>
      <c r="B159" s="16" t="s">
        <v>202</v>
      </c>
      <c r="C159" s="22" t="s">
        <v>165</v>
      </c>
      <c r="D159" s="14">
        <v>2009</v>
      </c>
      <c r="E159" s="21">
        <v>13.17</v>
      </c>
      <c r="F159" s="15">
        <v>1</v>
      </c>
      <c r="G159" s="16" t="s">
        <v>447</v>
      </c>
      <c r="H159" s="14" t="s">
        <v>646</v>
      </c>
      <c r="I159" s="13" t="s">
        <v>25</v>
      </c>
      <c r="J159" s="13">
        <v>0</v>
      </c>
      <c r="K159" s="16">
        <v>1</v>
      </c>
      <c r="L159" s="13">
        <f>K159/F159</f>
        <v>1</v>
      </c>
      <c r="M159" s="13">
        <v>0</v>
      </c>
      <c r="N159" s="13">
        <f>M159/F159</f>
        <v>0</v>
      </c>
      <c r="O159" s="13">
        <f t="shared" si="12"/>
        <v>1</v>
      </c>
      <c r="P159" s="13">
        <f>O159/F159</f>
        <v>1</v>
      </c>
      <c r="Q159" s="18">
        <v>0</v>
      </c>
      <c r="R159" s="18">
        <v>1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20">
        <f t="shared" si="14"/>
        <v>1</v>
      </c>
      <c r="AD159" s="13" t="s">
        <v>75</v>
      </c>
      <c r="AE159" s="13">
        <v>1500</v>
      </c>
      <c r="AG159" s="16" t="s">
        <v>203</v>
      </c>
      <c r="AI159" s="13" t="s">
        <v>42</v>
      </c>
      <c r="AJ159" s="14" t="s">
        <v>238</v>
      </c>
      <c r="AK159" s="15" t="s">
        <v>243</v>
      </c>
    </row>
    <row r="160" spans="1:37">
      <c r="A160" s="1">
        <v>35</v>
      </c>
      <c r="B160" s="16" t="s">
        <v>202</v>
      </c>
      <c r="C160" s="13" t="s">
        <v>165</v>
      </c>
      <c r="D160" s="14">
        <v>2009</v>
      </c>
      <c r="E160" s="21">
        <v>13.19</v>
      </c>
      <c r="F160" s="15">
        <v>1</v>
      </c>
      <c r="G160" s="16" t="s">
        <v>448</v>
      </c>
      <c r="H160" s="14" t="s">
        <v>647</v>
      </c>
      <c r="I160" s="13" t="s">
        <v>25</v>
      </c>
      <c r="J160" s="13">
        <v>0</v>
      </c>
      <c r="K160" s="16">
        <v>1</v>
      </c>
      <c r="L160" s="13">
        <f>K160/F160</f>
        <v>1</v>
      </c>
      <c r="M160" s="13">
        <v>1</v>
      </c>
      <c r="N160" s="13">
        <f>M160/F160</f>
        <v>1</v>
      </c>
      <c r="O160" s="13">
        <f t="shared" si="12"/>
        <v>2</v>
      </c>
      <c r="P160" s="13">
        <f>O160/F160</f>
        <v>2</v>
      </c>
      <c r="Q160" s="18">
        <v>2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20">
        <f t="shared" si="14"/>
        <v>2</v>
      </c>
      <c r="AD160" s="13" t="s">
        <v>108</v>
      </c>
      <c r="AE160" s="13">
        <v>1000</v>
      </c>
      <c r="AG160" s="16" t="s">
        <v>203</v>
      </c>
      <c r="AI160" s="13" t="s">
        <v>42</v>
      </c>
      <c r="AJ160" s="14" t="s">
        <v>238</v>
      </c>
      <c r="AK160" s="15" t="s">
        <v>244</v>
      </c>
    </row>
    <row r="161" spans="1:37">
      <c r="A161" s="1">
        <v>36</v>
      </c>
      <c r="B161" s="16" t="s">
        <v>202</v>
      </c>
      <c r="C161" s="22" t="s">
        <v>165</v>
      </c>
      <c r="D161" s="14">
        <v>2009</v>
      </c>
      <c r="E161" s="21">
        <v>13.29</v>
      </c>
      <c r="F161" s="15">
        <v>1</v>
      </c>
      <c r="G161" s="16" t="s">
        <v>449</v>
      </c>
      <c r="H161" s="14" t="s">
        <v>648</v>
      </c>
      <c r="I161" s="13" t="s">
        <v>25</v>
      </c>
      <c r="J161" s="13">
        <v>0</v>
      </c>
      <c r="K161" s="16">
        <v>2</v>
      </c>
      <c r="L161" s="13">
        <f>K161/F161</f>
        <v>2</v>
      </c>
      <c r="M161" s="13">
        <v>1</v>
      </c>
      <c r="N161" s="13">
        <f>M161/F161</f>
        <v>1</v>
      </c>
      <c r="O161" s="13">
        <f t="shared" si="12"/>
        <v>3</v>
      </c>
      <c r="P161" s="13">
        <f>O161/F161</f>
        <v>3</v>
      </c>
      <c r="Q161" s="18">
        <v>0</v>
      </c>
      <c r="R161" s="18">
        <v>1</v>
      </c>
      <c r="S161" s="18">
        <v>0</v>
      </c>
      <c r="T161" s="18">
        <v>0</v>
      </c>
      <c r="U161" s="18">
        <v>1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20">
        <f t="shared" si="14"/>
        <v>2</v>
      </c>
      <c r="AD161" s="13" t="s">
        <v>75</v>
      </c>
      <c r="AE161" s="13">
        <v>500</v>
      </c>
      <c r="AG161" s="16" t="s">
        <v>203</v>
      </c>
      <c r="AI161" s="13" t="s">
        <v>42</v>
      </c>
      <c r="AJ161" s="14" t="s">
        <v>238</v>
      </c>
      <c r="AK161" s="15" t="s">
        <v>242</v>
      </c>
    </row>
    <row r="162" spans="1:37">
      <c r="A162" s="1">
        <v>37</v>
      </c>
      <c r="B162" s="16" t="s">
        <v>202</v>
      </c>
      <c r="C162" s="13" t="s">
        <v>165</v>
      </c>
      <c r="D162" s="14">
        <v>2009</v>
      </c>
      <c r="E162" s="21">
        <v>13.37</v>
      </c>
      <c r="F162" s="15">
        <v>1</v>
      </c>
      <c r="G162" s="16" t="s">
        <v>450</v>
      </c>
      <c r="H162" s="14" t="s">
        <v>649</v>
      </c>
      <c r="I162" s="13" t="s">
        <v>25</v>
      </c>
      <c r="J162" s="13">
        <v>0</v>
      </c>
      <c r="K162" s="16">
        <v>1</v>
      </c>
      <c r="L162" s="13">
        <f>K162/F162</f>
        <v>1</v>
      </c>
      <c r="M162" s="13">
        <v>0</v>
      </c>
      <c r="N162" s="13">
        <f>M162/F162</f>
        <v>0</v>
      </c>
      <c r="O162" s="13">
        <f t="shared" si="12"/>
        <v>1</v>
      </c>
      <c r="P162" s="13">
        <f>O162/F162</f>
        <v>1</v>
      </c>
      <c r="Q162" s="18">
        <v>0</v>
      </c>
      <c r="R162" s="18">
        <v>1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20">
        <f t="shared" si="14"/>
        <v>1</v>
      </c>
      <c r="AD162" s="13" t="s">
        <v>226</v>
      </c>
      <c r="AE162" s="13">
        <v>450</v>
      </c>
      <c r="AG162" s="16" t="s">
        <v>203</v>
      </c>
      <c r="AI162" s="13" t="s">
        <v>42</v>
      </c>
      <c r="AJ162" s="14" t="s">
        <v>238</v>
      </c>
      <c r="AK162" s="15" t="s">
        <v>241</v>
      </c>
    </row>
    <row r="163" spans="1:37">
      <c r="A163" s="1">
        <v>38</v>
      </c>
      <c r="B163" s="16" t="s">
        <v>202</v>
      </c>
      <c r="C163" s="22" t="s">
        <v>165</v>
      </c>
      <c r="D163" s="14">
        <v>2009</v>
      </c>
      <c r="E163" s="21">
        <v>13.45</v>
      </c>
      <c r="F163" s="15">
        <v>1</v>
      </c>
      <c r="G163" s="16" t="s">
        <v>451</v>
      </c>
      <c r="H163" s="14" t="s">
        <v>650</v>
      </c>
      <c r="I163" s="13" t="s">
        <v>25</v>
      </c>
      <c r="J163" s="13">
        <v>0</v>
      </c>
      <c r="K163" s="16">
        <v>1</v>
      </c>
      <c r="L163" s="13">
        <f t="shared" ref="L163:L224" si="15">K163/F163</f>
        <v>1</v>
      </c>
      <c r="M163" s="13">
        <v>0</v>
      </c>
      <c r="N163" s="13">
        <f t="shared" ref="N163:N224" si="16">M163/F163</f>
        <v>0</v>
      </c>
      <c r="O163" s="13">
        <f t="shared" ref="O163:O171" si="17">K163+M163</f>
        <v>1</v>
      </c>
      <c r="P163" s="13">
        <f t="shared" ref="P163:P171" si="18">O163/F163</f>
        <v>1</v>
      </c>
      <c r="Q163" s="18">
        <v>0</v>
      </c>
      <c r="R163" s="18">
        <v>1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20">
        <f t="shared" si="14"/>
        <v>1</v>
      </c>
      <c r="AD163" s="13" t="s">
        <v>75</v>
      </c>
      <c r="AE163" s="13">
        <v>800</v>
      </c>
      <c r="AG163" s="16" t="s">
        <v>203</v>
      </c>
      <c r="AI163" s="13" t="s">
        <v>42</v>
      </c>
      <c r="AJ163" s="14" t="s">
        <v>238</v>
      </c>
      <c r="AK163" s="15" t="s">
        <v>245</v>
      </c>
    </row>
    <row r="164" spans="1:37">
      <c r="A164" s="1">
        <v>39</v>
      </c>
      <c r="B164" s="16" t="s">
        <v>202</v>
      </c>
      <c r="C164" s="13" t="s">
        <v>165</v>
      </c>
      <c r="D164" s="14">
        <v>2009</v>
      </c>
      <c r="E164" s="21">
        <v>13.5</v>
      </c>
      <c r="F164" s="15">
        <v>1</v>
      </c>
      <c r="G164" s="16" t="s">
        <v>452</v>
      </c>
      <c r="H164" s="14" t="s">
        <v>651</v>
      </c>
      <c r="I164" s="13" t="s">
        <v>25</v>
      </c>
      <c r="J164" s="13">
        <v>0</v>
      </c>
      <c r="K164" s="16">
        <v>1</v>
      </c>
      <c r="L164" s="13">
        <f t="shared" si="15"/>
        <v>1</v>
      </c>
      <c r="M164" s="13">
        <v>0</v>
      </c>
      <c r="N164" s="13">
        <f t="shared" si="16"/>
        <v>0</v>
      </c>
      <c r="O164" s="13">
        <f t="shared" si="17"/>
        <v>1</v>
      </c>
      <c r="P164" s="13">
        <f t="shared" si="18"/>
        <v>1</v>
      </c>
      <c r="Q164" s="18">
        <v>0</v>
      </c>
      <c r="R164" s="18">
        <v>1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20">
        <f t="shared" si="14"/>
        <v>1</v>
      </c>
      <c r="AD164" s="13" t="s">
        <v>75</v>
      </c>
      <c r="AE164" s="13">
        <v>1000</v>
      </c>
      <c r="AG164" s="16" t="s">
        <v>203</v>
      </c>
      <c r="AI164" s="13" t="s">
        <v>42</v>
      </c>
      <c r="AJ164" s="14" t="s">
        <v>238</v>
      </c>
      <c r="AK164" s="15" t="s">
        <v>246</v>
      </c>
    </row>
    <row r="165" spans="1:37">
      <c r="A165" s="1">
        <v>40</v>
      </c>
      <c r="B165" s="16" t="s">
        <v>202</v>
      </c>
      <c r="C165" s="22" t="s">
        <v>165</v>
      </c>
      <c r="D165" s="14">
        <v>2009</v>
      </c>
      <c r="E165" s="21">
        <v>13.53</v>
      </c>
      <c r="F165" s="15">
        <v>1</v>
      </c>
      <c r="G165" s="16" t="s">
        <v>453</v>
      </c>
      <c r="H165" s="14" t="s">
        <v>652</v>
      </c>
      <c r="I165" s="13" t="s">
        <v>25</v>
      </c>
      <c r="J165" s="13">
        <v>0</v>
      </c>
      <c r="K165" s="16">
        <v>1</v>
      </c>
      <c r="L165" s="13">
        <f t="shared" si="15"/>
        <v>1</v>
      </c>
      <c r="M165" s="13">
        <v>1</v>
      </c>
      <c r="N165" s="13">
        <f t="shared" si="16"/>
        <v>1</v>
      </c>
      <c r="O165" s="13">
        <f t="shared" si="17"/>
        <v>2</v>
      </c>
      <c r="P165" s="13">
        <f t="shared" si="18"/>
        <v>2</v>
      </c>
      <c r="Q165" s="18">
        <v>0</v>
      </c>
      <c r="R165" s="18">
        <v>2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20">
        <f t="shared" si="14"/>
        <v>2</v>
      </c>
      <c r="AD165" s="13" t="s">
        <v>75</v>
      </c>
      <c r="AE165" s="13">
        <v>800</v>
      </c>
      <c r="AG165" s="16" t="s">
        <v>203</v>
      </c>
      <c r="AI165" s="13" t="s">
        <v>42</v>
      </c>
      <c r="AJ165" s="14" t="s">
        <v>238</v>
      </c>
      <c r="AK165" s="15" t="s">
        <v>247</v>
      </c>
    </row>
    <row r="166" spans="1:37">
      <c r="A166" s="1">
        <v>41</v>
      </c>
      <c r="B166" s="16" t="s">
        <v>202</v>
      </c>
      <c r="C166" s="13" t="s">
        <v>165</v>
      </c>
      <c r="D166" s="14">
        <v>2009</v>
      </c>
      <c r="E166" s="21">
        <v>13.56</v>
      </c>
      <c r="F166" s="15">
        <v>1</v>
      </c>
      <c r="G166" s="16" t="s">
        <v>454</v>
      </c>
      <c r="H166" s="14" t="s">
        <v>653</v>
      </c>
      <c r="I166" s="13" t="s">
        <v>25</v>
      </c>
      <c r="J166" s="13">
        <v>0</v>
      </c>
      <c r="K166" s="16">
        <v>2</v>
      </c>
      <c r="L166" s="13">
        <f t="shared" si="15"/>
        <v>2</v>
      </c>
      <c r="M166" s="13">
        <v>1</v>
      </c>
      <c r="N166" s="13">
        <f t="shared" si="16"/>
        <v>1</v>
      </c>
      <c r="O166" s="13">
        <f t="shared" si="17"/>
        <v>3</v>
      </c>
      <c r="P166" s="13">
        <f t="shared" si="18"/>
        <v>3</v>
      </c>
      <c r="Q166" s="18">
        <v>0</v>
      </c>
      <c r="R166" s="18">
        <v>2</v>
      </c>
      <c r="S166" s="18">
        <v>0</v>
      </c>
      <c r="T166" s="18">
        <v>0</v>
      </c>
      <c r="U166" s="18">
        <v>1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20">
        <f t="shared" si="14"/>
        <v>3</v>
      </c>
      <c r="AD166" s="13" t="s">
        <v>223</v>
      </c>
      <c r="AE166" s="13">
        <v>600</v>
      </c>
      <c r="AG166" s="16" t="s">
        <v>248</v>
      </c>
      <c r="AI166" s="13" t="s">
        <v>42</v>
      </c>
      <c r="AJ166" s="14" t="s">
        <v>249</v>
      </c>
      <c r="AK166" s="15" t="s">
        <v>250</v>
      </c>
    </row>
    <row r="167" spans="1:37">
      <c r="A167" s="1">
        <v>42</v>
      </c>
      <c r="B167" s="16" t="s">
        <v>202</v>
      </c>
      <c r="C167" s="22" t="s">
        <v>165</v>
      </c>
      <c r="D167" s="14">
        <v>2009</v>
      </c>
      <c r="E167" s="21">
        <v>13.58</v>
      </c>
      <c r="F167" s="15">
        <v>1</v>
      </c>
      <c r="G167" s="16" t="s">
        <v>455</v>
      </c>
      <c r="H167" s="14" t="s">
        <v>654</v>
      </c>
      <c r="I167" s="13" t="s">
        <v>25</v>
      </c>
      <c r="J167" s="13">
        <v>0</v>
      </c>
      <c r="K167" s="16">
        <v>1</v>
      </c>
      <c r="L167" s="13">
        <f t="shared" si="15"/>
        <v>1</v>
      </c>
      <c r="M167" s="13">
        <v>0</v>
      </c>
      <c r="N167" s="13">
        <f t="shared" si="16"/>
        <v>0</v>
      </c>
      <c r="O167" s="13">
        <f t="shared" si="17"/>
        <v>1</v>
      </c>
      <c r="P167" s="13">
        <f t="shared" si="18"/>
        <v>1</v>
      </c>
      <c r="Q167" s="18">
        <v>0</v>
      </c>
      <c r="R167" s="18">
        <v>1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20">
        <f t="shared" si="14"/>
        <v>1</v>
      </c>
      <c r="AD167" s="13" t="s">
        <v>75</v>
      </c>
      <c r="AE167" s="13">
        <v>300</v>
      </c>
      <c r="AG167" s="16" t="s">
        <v>248</v>
      </c>
      <c r="AI167" s="13" t="s">
        <v>42</v>
      </c>
      <c r="AJ167" s="14" t="s">
        <v>249</v>
      </c>
      <c r="AK167" s="15" t="s">
        <v>246</v>
      </c>
    </row>
    <row r="168" spans="1:37">
      <c r="A168" s="1">
        <v>43</v>
      </c>
      <c r="B168" s="16" t="s">
        <v>202</v>
      </c>
      <c r="C168" s="13" t="s">
        <v>165</v>
      </c>
      <c r="D168" s="14">
        <v>2009</v>
      </c>
      <c r="E168" s="21">
        <v>14</v>
      </c>
      <c r="F168" s="15">
        <v>1</v>
      </c>
      <c r="G168" s="16" t="s">
        <v>456</v>
      </c>
      <c r="H168" s="14" t="s">
        <v>655</v>
      </c>
      <c r="I168" s="13" t="s">
        <v>25</v>
      </c>
      <c r="J168" s="13">
        <v>0</v>
      </c>
      <c r="K168" s="16">
        <v>1</v>
      </c>
      <c r="L168" s="13">
        <f t="shared" si="15"/>
        <v>1</v>
      </c>
      <c r="M168" s="13">
        <v>0</v>
      </c>
      <c r="N168" s="13">
        <f t="shared" si="16"/>
        <v>0</v>
      </c>
      <c r="O168" s="13">
        <f t="shared" si="17"/>
        <v>1</v>
      </c>
      <c r="P168" s="13">
        <f t="shared" si="18"/>
        <v>1</v>
      </c>
      <c r="Q168" s="18">
        <v>0</v>
      </c>
      <c r="R168" s="18">
        <v>0</v>
      </c>
      <c r="S168" s="18">
        <v>0</v>
      </c>
      <c r="T168" s="18">
        <v>0</v>
      </c>
      <c r="U168" s="18">
        <v>1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20">
        <f t="shared" si="14"/>
        <v>1</v>
      </c>
      <c r="AD168" s="13" t="s">
        <v>173</v>
      </c>
      <c r="AE168" s="13">
        <v>90</v>
      </c>
      <c r="AG168" s="16" t="s">
        <v>248</v>
      </c>
      <c r="AI168" s="13" t="s">
        <v>42</v>
      </c>
      <c r="AJ168" s="14" t="s">
        <v>249</v>
      </c>
      <c r="AK168" s="15" t="s">
        <v>251</v>
      </c>
    </row>
    <row r="169" spans="1:37">
      <c r="A169" s="1">
        <v>44</v>
      </c>
      <c r="B169" s="16" t="s">
        <v>202</v>
      </c>
      <c r="C169" s="22" t="s">
        <v>165</v>
      </c>
      <c r="D169" s="14">
        <v>2009</v>
      </c>
      <c r="E169" s="21">
        <v>14.02</v>
      </c>
      <c r="F169" s="15">
        <v>1</v>
      </c>
      <c r="G169" s="16" t="s">
        <v>457</v>
      </c>
      <c r="H169" s="14" t="s">
        <v>656</v>
      </c>
      <c r="I169" s="13" t="s">
        <v>25</v>
      </c>
      <c r="J169" s="13">
        <v>0</v>
      </c>
      <c r="K169" s="16">
        <v>1</v>
      </c>
      <c r="L169" s="13">
        <f t="shared" si="15"/>
        <v>1</v>
      </c>
      <c r="M169" s="13">
        <v>1</v>
      </c>
      <c r="N169" s="13">
        <f t="shared" si="16"/>
        <v>1</v>
      </c>
      <c r="O169" s="13">
        <f t="shared" si="17"/>
        <v>2</v>
      </c>
      <c r="P169" s="13">
        <f t="shared" si="18"/>
        <v>2</v>
      </c>
      <c r="Q169" s="18">
        <v>0</v>
      </c>
      <c r="R169" s="18">
        <v>0</v>
      </c>
      <c r="S169" s="18">
        <v>0</v>
      </c>
      <c r="T169" s="18">
        <v>0</v>
      </c>
      <c r="U169" s="18">
        <v>2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20">
        <f t="shared" si="14"/>
        <v>2</v>
      </c>
      <c r="AD169" s="13" t="s">
        <v>226</v>
      </c>
      <c r="AE169" s="13">
        <v>300</v>
      </c>
      <c r="AG169" s="16" t="s">
        <v>248</v>
      </c>
      <c r="AI169" s="13" t="s">
        <v>42</v>
      </c>
      <c r="AJ169" s="14" t="s">
        <v>249</v>
      </c>
      <c r="AK169" s="15" t="s">
        <v>251</v>
      </c>
    </row>
    <row r="170" spans="1:37">
      <c r="A170" s="1">
        <v>45</v>
      </c>
      <c r="B170" s="16" t="s">
        <v>202</v>
      </c>
      <c r="C170" s="13" t="s">
        <v>165</v>
      </c>
      <c r="D170" s="14">
        <v>2009</v>
      </c>
      <c r="E170" s="21">
        <v>14.05</v>
      </c>
      <c r="F170" s="15">
        <v>1</v>
      </c>
      <c r="G170" s="16" t="s">
        <v>458</v>
      </c>
      <c r="H170" s="14" t="s">
        <v>657</v>
      </c>
      <c r="I170" s="13" t="s">
        <v>25</v>
      </c>
      <c r="J170" s="13">
        <v>0</v>
      </c>
      <c r="K170" s="16">
        <v>1</v>
      </c>
      <c r="L170" s="13">
        <f t="shared" si="15"/>
        <v>1</v>
      </c>
      <c r="M170" s="13">
        <v>1</v>
      </c>
      <c r="N170" s="13">
        <f t="shared" si="16"/>
        <v>1</v>
      </c>
      <c r="O170" s="13">
        <f t="shared" si="17"/>
        <v>2</v>
      </c>
      <c r="P170" s="13">
        <f t="shared" si="18"/>
        <v>2</v>
      </c>
      <c r="Q170" s="18">
        <v>0</v>
      </c>
      <c r="R170" s="18">
        <v>0</v>
      </c>
      <c r="S170" s="18">
        <v>0</v>
      </c>
      <c r="T170" s="18">
        <v>0</v>
      </c>
      <c r="U170" s="18">
        <v>2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20">
        <f t="shared" si="14"/>
        <v>2</v>
      </c>
      <c r="AD170" s="13" t="s">
        <v>108</v>
      </c>
      <c r="AE170" s="13">
        <v>50</v>
      </c>
      <c r="AG170" s="16" t="s">
        <v>248</v>
      </c>
      <c r="AI170" s="13" t="s">
        <v>42</v>
      </c>
      <c r="AJ170" s="14" t="s">
        <v>249</v>
      </c>
      <c r="AK170" s="15" t="s">
        <v>241</v>
      </c>
    </row>
    <row r="171" spans="1:37">
      <c r="A171" s="1">
        <v>46</v>
      </c>
      <c r="B171" s="16" t="s">
        <v>202</v>
      </c>
      <c r="C171" s="22" t="s">
        <v>165</v>
      </c>
      <c r="D171" s="14">
        <v>2009</v>
      </c>
      <c r="E171" s="21">
        <v>14.07</v>
      </c>
      <c r="F171" s="15">
        <v>1</v>
      </c>
      <c r="G171" s="16" t="s">
        <v>459</v>
      </c>
      <c r="H171" s="14" t="s">
        <v>658</v>
      </c>
      <c r="I171" s="13" t="s">
        <v>25</v>
      </c>
      <c r="J171" s="13">
        <v>0</v>
      </c>
      <c r="K171" s="16">
        <v>1</v>
      </c>
      <c r="L171" s="13">
        <f t="shared" si="15"/>
        <v>1</v>
      </c>
      <c r="M171" s="13">
        <v>0</v>
      </c>
      <c r="N171" s="13">
        <f t="shared" si="16"/>
        <v>0</v>
      </c>
      <c r="O171" s="13">
        <f t="shared" si="17"/>
        <v>1</v>
      </c>
      <c r="P171" s="13">
        <f t="shared" si="18"/>
        <v>1</v>
      </c>
      <c r="Q171" s="18">
        <v>0</v>
      </c>
      <c r="R171" s="18">
        <v>1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20">
        <f t="shared" si="14"/>
        <v>1</v>
      </c>
      <c r="AD171" s="13" t="s">
        <v>75</v>
      </c>
      <c r="AE171" s="13">
        <v>800</v>
      </c>
      <c r="AG171" s="16" t="s">
        <v>248</v>
      </c>
      <c r="AI171" s="13" t="s">
        <v>42</v>
      </c>
      <c r="AJ171" s="14" t="s">
        <v>249</v>
      </c>
      <c r="AK171" s="15" t="s">
        <v>252</v>
      </c>
    </row>
    <row r="172" spans="1:37" s="23" customFormat="1">
      <c r="A172" s="23">
        <v>1</v>
      </c>
      <c r="B172" s="24" t="s">
        <v>253</v>
      </c>
      <c r="C172" s="25" t="s">
        <v>165</v>
      </c>
      <c r="D172" s="26">
        <v>2009</v>
      </c>
      <c r="E172" s="27">
        <v>10</v>
      </c>
      <c r="F172" s="28">
        <v>1</v>
      </c>
      <c r="G172" s="24" t="s">
        <v>460</v>
      </c>
      <c r="H172" s="26" t="s">
        <v>659</v>
      </c>
      <c r="I172" s="25" t="s">
        <v>25</v>
      </c>
      <c r="J172" s="25">
        <v>0</v>
      </c>
      <c r="K172" s="24">
        <v>3</v>
      </c>
      <c r="L172" s="25">
        <f t="shared" si="15"/>
        <v>3</v>
      </c>
      <c r="M172" s="25">
        <v>2</v>
      </c>
      <c r="N172" s="25">
        <f t="shared" si="16"/>
        <v>2</v>
      </c>
      <c r="O172" s="25">
        <f t="shared" ref="O172:O224" si="19">K172+M172</f>
        <v>5</v>
      </c>
      <c r="P172" s="25">
        <f t="shared" ref="P172:P224" si="20">O172/F172</f>
        <v>5</v>
      </c>
      <c r="Q172" s="29">
        <v>0</v>
      </c>
      <c r="R172" s="29">
        <v>5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>
        <v>0</v>
      </c>
      <c r="AC172" s="29">
        <f t="shared" si="14"/>
        <v>5</v>
      </c>
      <c r="AD172" s="25"/>
      <c r="AE172" s="25" t="s">
        <v>256</v>
      </c>
      <c r="AF172" s="26"/>
      <c r="AG172" s="24" t="s">
        <v>254</v>
      </c>
      <c r="AH172" s="25"/>
      <c r="AI172" s="25" t="s">
        <v>42</v>
      </c>
      <c r="AJ172" s="26" t="s">
        <v>255</v>
      </c>
      <c r="AK172" s="28" t="s">
        <v>257</v>
      </c>
    </row>
    <row r="173" spans="1:37">
      <c r="A173" s="1">
        <v>2</v>
      </c>
      <c r="B173" s="16" t="s">
        <v>253</v>
      </c>
      <c r="C173" s="13" t="s">
        <v>165</v>
      </c>
      <c r="D173" s="14">
        <v>2009</v>
      </c>
      <c r="E173" s="15">
        <v>10.01</v>
      </c>
      <c r="F173" s="15">
        <v>1</v>
      </c>
      <c r="G173" s="16" t="s">
        <v>461</v>
      </c>
      <c r="H173" s="14" t="s">
        <v>660</v>
      </c>
      <c r="I173" s="13" t="s">
        <v>25</v>
      </c>
      <c r="J173" s="13">
        <v>0</v>
      </c>
      <c r="K173" s="16">
        <v>2</v>
      </c>
      <c r="L173" s="13">
        <f t="shared" si="15"/>
        <v>2</v>
      </c>
      <c r="M173" s="13">
        <v>0</v>
      </c>
      <c r="N173" s="13">
        <f t="shared" si="16"/>
        <v>0</v>
      </c>
      <c r="O173" s="13">
        <f t="shared" si="19"/>
        <v>2</v>
      </c>
      <c r="P173" s="13">
        <f t="shared" si="20"/>
        <v>2</v>
      </c>
      <c r="Q173" s="18">
        <v>2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20">
        <f t="shared" si="14"/>
        <v>2</v>
      </c>
      <c r="AD173" s="13" t="s">
        <v>75</v>
      </c>
      <c r="AE173" s="13">
        <v>800</v>
      </c>
      <c r="AG173" s="16" t="s">
        <v>254</v>
      </c>
      <c r="AI173" s="13" t="s">
        <v>42</v>
      </c>
      <c r="AJ173" s="14" t="s">
        <v>255</v>
      </c>
      <c r="AK173" s="15" t="s">
        <v>258</v>
      </c>
    </row>
    <row r="174" spans="1:37">
      <c r="A174" s="1">
        <v>3</v>
      </c>
      <c r="B174" s="16" t="s">
        <v>253</v>
      </c>
      <c r="C174" s="13" t="s">
        <v>165</v>
      </c>
      <c r="D174" s="14">
        <v>2009</v>
      </c>
      <c r="E174" s="15">
        <v>10.039999999999999</v>
      </c>
      <c r="F174" s="15">
        <v>1</v>
      </c>
      <c r="G174" s="16" t="s">
        <v>462</v>
      </c>
      <c r="H174" s="14" t="s">
        <v>661</v>
      </c>
      <c r="I174" s="13" t="s">
        <v>25</v>
      </c>
      <c r="J174" s="13">
        <v>0</v>
      </c>
      <c r="K174" s="16">
        <v>2</v>
      </c>
      <c r="L174" s="13">
        <f t="shared" si="15"/>
        <v>2</v>
      </c>
      <c r="M174" s="13">
        <v>1</v>
      </c>
      <c r="N174" s="13">
        <f t="shared" si="16"/>
        <v>1</v>
      </c>
      <c r="O174" s="13">
        <f t="shared" si="19"/>
        <v>3</v>
      </c>
      <c r="P174" s="13">
        <f t="shared" si="20"/>
        <v>3</v>
      </c>
      <c r="Q174" s="18">
        <v>1</v>
      </c>
      <c r="R174" s="18">
        <v>2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20">
        <f t="shared" si="14"/>
        <v>3</v>
      </c>
      <c r="AD174" s="13" t="s">
        <v>52</v>
      </c>
      <c r="AE174" s="13">
        <v>900</v>
      </c>
      <c r="AG174" s="16" t="s">
        <v>254</v>
      </c>
      <c r="AI174" s="13" t="s">
        <v>42</v>
      </c>
      <c r="AJ174" s="14" t="s">
        <v>255</v>
      </c>
      <c r="AK174" s="15" t="s">
        <v>259</v>
      </c>
    </row>
    <row r="175" spans="1:37">
      <c r="A175" s="1">
        <v>4</v>
      </c>
      <c r="B175" s="16" t="s">
        <v>253</v>
      </c>
      <c r="C175" s="13" t="s">
        <v>165</v>
      </c>
      <c r="D175" s="14">
        <v>2009</v>
      </c>
      <c r="E175" s="15">
        <v>10.07</v>
      </c>
      <c r="F175" s="15">
        <v>1</v>
      </c>
      <c r="G175" s="16" t="s">
        <v>712</v>
      </c>
      <c r="H175" s="14" t="s">
        <v>662</v>
      </c>
      <c r="I175" s="13" t="s">
        <v>25</v>
      </c>
      <c r="J175" s="13">
        <v>0</v>
      </c>
      <c r="K175" s="16">
        <v>3</v>
      </c>
      <c r="L175" s="13">
        <f t="shared" si="15"/>
        <v>3</v>
      </c>
      <c r="M175" s="13">
        <v>1</v>
      </c>
      <c r="N175" s="13">
        <f t="shared" si="16"/>
        <v>1</v>
      </c>
      <c r="O175" s="13">
        <f t="shared" si="19"/>
        <v>4</v>
      </c>
      <c r="P175" s="13">
        <f t="shared" si="20"/>
        <v>4</v>
      </c>
      <c r="Q175" s="18">
        <v>4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20">
        <f t="shared" si="14"/>
        <v>4</v>
      </c>
      <c r="AD175" s="13" t="s">
        <v>26</v>
      </c>
      <c r="AE175" s="13">
        <v>450</v>
      </c>
      <c r="AG175" s="16" t="s">
        <v>254</v>
      </c>
      <c r="AI175" s="13" t="s">
        <v>42</v>
      </c>
      <c r="AJ175" s="14" t="s">
        <v>255</v>
      </c>
      <c r="AK175" s="15" t="s">
        <v>260</v>
      </c>
    </row>
    <row r="176" spans="1:37">
      <c r="A176" s="1">
        <v>5</v>
      </c>
      <c r="B176" s="16" t="s">
        <v>253</v>
      </c>
      <c r="C176" s="13" t="s">
        <v>165</v>
      </c>
      <c r="D176" s="14">
        <v>2009</v>
      </c>
      <c r="E176" s="21">
        <v>10.09</v>
      </c>
      <c r="F176" s="15">
        <v>1</v>
      </c>
      <c r="G176" s="16" t="s">
        <v>463</v>
      </c>
      <c r="H176" s="14" t="s">
        <v>663</v>
      </c>
      <c r="I176" s="13" t="s">
        <v>25</v>
      </c>
      <c r="J176" s="13">
        <v>0</v>
      </c>
      <c r="K176" s="16">
        <v>1</v>
      </c>
      <c r="L176" s="13">
        <f t="shared" si="15"/>
        <v>1</v>
      </c>
      <c r="M176" s="13">
        <v>1</v>
      </c>
      <c r="N176" s="13">
        <f t="shared" si="16"/>
        <v>1</v>
      </c>
      <c r="O176" s="13">
        <f t="shared" si="19"/>
        <v>2</v>
      </c>
      <c r="P176" s="13">
        <f t="shared" si="20"/>
        <v>2</v>
      </c>
      <c r="Q176" s="18">
        <v>0</v>
      </c>
      <c r="R176" s="18">
        <v>0</v>
      </c>
      <c r="S176" s="18">
        <v>0</v>
      </c>
      <c r="T176" s="18">
        <v>0</v>
      </c>
      <c r="U176" s="18">
        <v>2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20">
        <f t="shared" si="14"/>
        <v>2</v>
      </c>
      <c r="AD176" s="13" t="s">
        <v>173</v>
      </c>
      <c r="AE176" s="13">
        <v>50</v>
      </c>
      <c r="AG176" s="16" t="s">
        <v>254</v>
      </c>
      <c r="AI176" s="13" t="s">
        <v>42</v>
      </c>
      <c r="AJ176" s="14" t="s">
        <v>255</v>
      </c>
      <c r="AK176" s="15" t="s">
        <v>261</v>
      </c>
    </row>
    <row r="177" spans="1:37">
      <c r="A177" s="1">
        <v>6</v>
      </c>
      <c r="B177" s="16" t="s">
        <v>253</v>
      </c>
      <c r="C177" s="13" t="s">
        <v>165</v>
      </c>
      <c r="D177" s="14">
        <v>2009</v>
      </c>
      <c r="E177" s="21">
        <v>10.14</v>
      </c>
      <c r="F177" s="15">
        <v>1</v>
      </c>
      <c r="G177" s="16" t="s">
        <v>464</v>
      </c>
      <c r="H177" s="14" t="s">
        <v>663</v>
      </c>
      <c r="I177" s="13" t="s">
        <v>25</v>
      </c>
      <c r="J177" s="13">
        <v>0</v>
      </c>
      <c r="K177" s="16">
        <v>1</v>
      </c>
      <c r="L177" s="13">
        <f t="shared" si="15"/>
        <v>1</v>
      </c>
      <c r="M177" s="13">
        <v>1</v>
      </c>
      <c r="N177" s="13">
        <f t="shared" si="16"/>
        <v>1</v>
      </c>
      <c r="O177" s="13">
        <f t="shared" si="19"/>
        <v>2</v>
      </c>
      <c r="P177" s="13">
        <f t="shared" si="20"/>
        <v>2</v>
      </c>
      <c r="Q177" s="18">
        <v>0</v>
      </c>
      <c r="R177" s="18">
        <v>0</v>
      </c>
      <c r="S177" s="18">
        <v>0</v>
      </c>
      <c r="T177" s="18">
        <v>0</v>
      </c>
      <c r="U177" s="18">
        <v>2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20">
        <f t="shared" si="14"/>
        <v>2</v>
      </c>
      <c r="AD177" s="13" t="s">
        <v>75</v>
      </c>
      <c r="AE177" s="13">
        <v>850</v>
      </c>
      <c r="AG177" s="16" t="s">
        <v>254</v>
      </c>
      <c r="AI177" s="13" t="s">
        <v>42</v>
      </c>
      <c r="AJ177" s="14" t="s">
        <v>255</v>
      </c>
      <c r="AK177" s="15" t="s">
        <v>262</v>
      </c>
    </row>
    <row r="178" spans="1:37">
      <c r="A178" s="1">
        <v>7</v>
      </c>
      <c r="B178" s="16" t="s">
        <v>253</v>
      </c>
      <c r="C178" s="13" t="s">
        <v>165</v>
      </c>
      <c r="D178" s="14">
        <v>2009</v>
      </c>
      <c r="E178" s="21">
        <v>10.19</v>
      </c>
      <c r="F178" s="15">
        <v>1</v>
      </c>
      <c r="G178" s="16" t="s">
        <v>465</v>
      </c>
      <c r="H178" s="14" t="s">
        <v>664</v>
      </c>
      <c r="I178" s="13" t="s">
        <v>25</v>
      </c>
      <c r="J178" s="13">
        <v>0</v>
      </c>
      <c r="K178" s="16">
        <v>2</v>
      </c>
      <c r="L178" s="13">
        <f t="shared" si="15"/>
        <v>2</v>
      </c>
      <c r="M178" s="13">
        <v>0</v>
      </c>
      <c r="N178" s="13">
        <f t="shared" si="16"/>
        <v>0</v>
      </c>
      <c r="O178" s="13">
        <f t="shared" si="19"/>
        <v>2</v>
      </c>
      <c r="P178" s="13">
        <f t="shared" si="20"/>
        <v>2</v>
      </c>
      <c r="Q178" s="18">
        <v>1</v>
      </c>
      <c r="R178" s="18">
        <v>1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20">
        <f t="shared" si="14"/>
        <v>2</v>
      </c>
      <c r="AD178" s="13" t="s">
        <v>173</v>
      </c>
      <c r="AE178" s="13">
        <v>1300</v>
      </c>
      <c r="AG178" s="16" t="s">
        <v>254</v>
      </c>
      <c r="AI178" s="13" t="s">
        <v>42</v>
      </c>
      <c r="AJ178" s="14" t="s">
        <v>255</v>
      </c>
      <c r="AK178" s="15" t="s">
        <v>263</v>
      </c>
    </row>
    <row r="179" spans="1:37">
      <c r="A179" s="1">
        <v>8</v>
      </c>
      <c r="B179" s="16" t="s">
        <v>253</v>
      </c>
      <c r="C179" s="13" t="s">
        <v>165</v>
      </c>
      <c r="D179" s="14">
        <v>2009</v>
      </c>
      <c r="E179" s="21">
        <v>10.210000000000001</v>
      </c>
      <c r="F179" s="15">
        <v>1</v>
      </c>
      <c r="G179" s="16" t="s">
        <v>466</v>
      </c>
      <c r="H179" s="14" t="s">
        <v>665</v>
      </c>
      <c r="I179" s="13" t="s">
        <v>25</v>
      </c>
      <c r="J179" s="13">
        <v>0</v>
      </c>
      <c r="K179" s="16">
        <v>1</v>
      </c>
      <c r="L179" s="13">
        <f t="shared" si="15"/>
        <v>1</v>
      </c>
      <c r="M179" s="13">
        <v>0</v>
      </c>
      <c r="N179" s="13">
        <f t="shared" si="16"/>
        <v>0</v>
      </c>
      <c r="O179" s="13">
        <f t="shared" si="19"/>
        <v>1</v>
      </c>
      <c r="P179" s="13">
        <f t="shared" si="20"/>
        <v>1</v>
      </c>
      <c r="Q179" s="18">
        <v>1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20">
        <f t="shared" si="14"/>
        <v>1</v>
      </c>
      <c r="AD179" s="13" t="s">
        <v>226</v>
      </c>
      <c r="AE179" s="13">
        <v>800</v>
      </c>
      <c r="AF179" s="14" t="s">
        <v>170</v>
      </c>
      <c r="AG179" s="16" t="s">
        <v>254</v>
      </c>
      <c r="AI179" s="13" t="s">
        <v>42</v>
      </c>
      <c r="AJ179" s="14" t="s">
        <v>255</v>
      </c>
      <c r="AK179" s="15" t="s">
        <v>264</v>
      </c>
    </row>
    <row r="180" spans="1:37">
      <c r="A180" s="1">
        <v>9</v>
      </c>
      <c r="B180" s="16" t="s">
        <v>253</v>
      </c>
      <c r="C180" s="13" t="s">
        <v>165</v>
      </c>
      <c r="D180" s="14">
        <v>2009</v>
      </c>
      <c r="E180" s="21">
        <v>10.220000000000001</v>
      </c>
      <c r="F180" s="15">
        <v>1</v>
      </c>
      <c r="G180" s="16" t="s">
        <v>467</v>
      </c>
      <c r="H180" s="14" t="s">
        <v>666</v>
      </c>
      <c r="I180" s="13" t="s">
        <v>25</v>
      </c>
      <c r="J180" s="13">
        <v>0</v>
      </c>
      <c r="K180" s="16">
        <v>1</v>
      </c>
      <c r="L180" s="13">
        <f t="shared" si="15"/>
        <v>1</v>
      </c>
      <c r="M180" s="13">
        <v>0</v>
      </c>
      <c r="N180" s="13">
        <f t="shared" si="16"/>
        <v>0</v>
      </c>
      <c r="O180" s="13">
        <f t="shared" si="19"/>
        <v>1</v>
      </c>
      <c r="P180" s="13">
        <f t="shared" si="20"/>
        <v>1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1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20">
        <f t="shared" si="14"/>
        <v>1</v>
      </c>
      <c r="AD180" s="13" t="s">
        <v>173</v>
      </c>
      <c r="AE180" s="13">
        <v>30</v>
      </c>
      <c r="AF180" s="14" t="s">
        <v>170</v>
      </c>
      <c r="AG180" s="16" t="s">
        <v>254</v>
      </c>
      <c r="AI180" s="13" t="s">
        <v>42</v>
      </c>
      <c r="AJ180" s="14" t="s">
        <v>255</v>
      </c>
      <c r="AK180" s="15" t="s">
        <v>265</v>
      </c>
    </row>
    <row r="181" spans="1:37">
      <c r="A181" s="1">
        <v>10</v>
      </c>
      <c r="B181" s="16" t="s">
        <v>253</v>
      </c>
      <c r="C181" s="13" t="s">
        <v>165</v>
      </c>
      <c r="D181" s="14">
        <v>2009</v>
      </c>
      <c r="E181" s="21">
        <v>10.3</v>
      </c>
      <c r="F181" s="15">
        <v>1</v>
      </c>
      <c r="G181" s="16" t="s">
        <v>468</v>
      </c>
      <c r="H181" s="14" t="s">
        <v>667</v>
      </c>
      <c r="I181" s="13" t="s">
        <v>25</v>
      </c>
      <c r="J181" s="13">
        <v>0</v>
      </c>
      <c r="K181" s="16">
        <v>1</v>
      </c>
      <c r="L181" s="13">
        <f t="shared" si="15"/>
        <v>1</v>
      </c>
      <c r="M181" s="13">
        <v>0</v>
      </c>
      <c r="N181" s="13">
        <f t="shared" si="16"/>
        <v>0</v>
      </c>
      <c r="O181" s="13">
        <f t="shared" si="19"/>
        <v>1</v>
      </c>
      <c r="P181" s="13">
        <f t="shared" si="20"/>
        <v>1</v>
      </c>
      <c r="Q181" s="18">
        <v>1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20">
        <f t="shared" si="14"/>
        <v>1</v>
      </c>
      <c r="AD181" s="13" t="s">
        <v>223</v>
      </c>
      <c r="AE181" s="13">
        <v>1400</v>
      </c>
      <c r="AG181" s="16" t="s">
        <v>254</v>
      </c>
      <c r="AI181" s="13" t="s">
        <v>42</v>
      </c>
      <c r="AJ181" s="14" t="s">
        <v>255</v>
      </c>
      <c r="AK181" s="15" t="s">
        <v>265</v>
      </c>
    </row>
    <row r="182" spans="1:37">
      <c r="A182" s="1">
        <v>11</v>
      </c>
      <c r="B182" s="16" t="s">
        <v>253</v>
      </c>
      <c r="C182" s="13" t="s">
        <v>165</v>
      </c>
      <c r="D182" s="14">
        <v>2009</v>
      </c>
      <c r="E182" s="21">
        <v>10.39</v>
      </c>
      <c r="F182" s="15">
        <v>1</v>
      </c>
      <c r="G182" s="16" t="s">
        <v>469</v>
      </c>
      <c r="H182" s="14" t="s">
        <v>668</v>
      </c>
      <c r="I182" s="13" t="s">
        <v>25</v>
      </c>
      <c r="J182" s="13">
        <v>0</v>
      </c>
      <c r="K182" s="16">
        <v>1</v>
      </c>
      <c r="L182" s="13">
        <f t="shared" si="15"/>
        <v>1</v>
      </c>
      <c r="M182" s="13">
        <v>1</v>
      </c>
      <c r="N182" s="13">
        <f t="shared" si="16"/>
        <v>1</v>
      </c>
      <c r="O182" s="13">
        <f t="shared" si="19"/>
        <v>2</v>
      </c>
      <c r="P182" s="13">
        <f t="shared" si="20"/>
        <v>2</v>
      </c>
      <c r="Q182" s="18">
        <v>0</v>
      </c>
      <c r="R182" s="18">
        <v>2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20">
        <f t="shared" si="14"/>
        <v>2</v>
      </c>
      <c r="AE182" s="13">
        <v>1900</v>
      </c>
      <c r="AG182" s="16" t="s">
        <v>254</v>
      </c>
      <c r="AI182" s="13" t="s">
        <v>42</v>
      </c>
      <c r="AJ182" s="14" t="s">
        <v>266</v>
      </c>
      <c r="AK182" s="15" t="s">
        <v>264</v>
      </c>
    </row>
    <row r="183" spans="1:37">
      <c r="A183" s="1">
        <v>12</v>
      </c>
      <c r="B183" s="16" t="s">
        <v>253</v>
      </c>
      <c r="C183" s="13" t="s">
        <v>165</v>
      </c>
      <c r="D183" s="14">
        <v>2009</v>
      </c>
      <c r="E183" s="21">
        <v>10.43</v>
      </c>
      <c r="F183" s="15">
        <v>1</v>
      </c>
      <c r="G183" s="16" t="s">
        <v>470</v>
      </c>
      <c r="H183" s="14" t="s">
        <v>669</v>
      </c>
      <c r="I183" s="13" t="s">
        <v>25</v>
      </c>
      <c r="J183" s="13">
        <v>0</v>
      </c>
      <c r="K183" s="16">
        <v>1</v>
      </c>
      <c r="L183" s="13">
        <f t="shared" si="15"/>
        <v>1</v>
      </c>
      <c r="M183" s="13">
        <v>0</v>
      </c>
      <c r="N183" s="13">
        <f t="shared" si="16"/>
        <v>0</v>
      </c>
      <c r="O183" s="13">
        <f t="shared" si="19"/>
        <v>1</v>
      </c>
      <c r="P183" s="13">
        <f t="shared" si="20"/>
        <v>1</v>
      </c>
      <c r="Q183" s="18">
        <v>1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20">
        <f t="shared" si="14"/>
        <v>1</v>
      </c>
      <c r="AD183" s="13" t="s">
        <v>108</v>
      </c>
      <c r="AE183" s="13">
        <v>400</v>
      </c>
      <c r="AG183" s="16" t="s">
        <v>254</v>
      </c>
      <c r="AI183" s="13" t="s">
        <v>42</v>
      </c>
      <c r="AJ183" s="14" t="s">
        <v>266</v>
      </c>
      <c r="AK183" s="15" t="s">
        <v>264</v>
      </c>
    </row>
    <row r="184" spans="1:37">
      <c r="A184" s="1">
        <v>13</v>
      </c>
      <c r="B184" s="16" t="s">
        <v>253</v>
      </c>
      <c r="C184" s="13" t="s">
        <v>165</v>
      </c>
      <c r="D184" s="14">
        <v>2009</v>
      </c>
      <c r="E184" s="21">
        <v>10.47</v>
      </c>
      <c r="F184" s="15">
        <v>1</v>
      </c>
      <c r="G184" s="16" t="s">
        <v>471</v>
      </c>
      <c r="H184" s="14" t="s">
        <v>670</v>
      </c>
      <c r="I184" s="13" t="s">
        <v>25</v>
      </c>
      <c r="J184" s="13">
        <v>0</v>
      </c>
      <c r="K184" s="16">
        <v>1</v>
      </c>
      <c r="L184" s="13">
        <f t="shared" si="15"/>
        <v>1</v>
      </c>
      <c r="M184" s="13">
        <v>1</v>
      </c>
      <c r="N184" s="13">
        <f t="shared" si="16"/>
        <v>1</v>
      </c>
      <c r="O184" s="13">
        <f t="shared" si="19"/>
        <v>2</v>
      </c>
      <c r="P184" s="13">
        <f t="shared" si="20"/>
        <v>2</v>
      </c>
      <c r="Q184" s="18">
        <v>0</v>
      </c>
      <c r="R184" s="18">
        <v>0</v>
      </c>
      <c r="S184" s="18">
        <v>0</v>
      </c>
      <c r="T184" s="18">
        <v>0</v>
      </c>
      <c r="U184" s="18">
        <v>0</v>
      </c>
      <c r="V184" s="18">
        <v>2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20">
        <f t="shared" si="14"/>
        <v>2</v>
      </c>
      <c r="AD184" s="13" t="s">
        <v>108</v>
      </c>
      <c r="AE184" s="13">
        <v>1000</v>
      </c>
      <c r="AF184" s="14" t="s">
        <v>226</v>
      </c>
      <c r="AG184" s="16" t="s">
        <v>254</v>
      </c>
      <c r="AI184" s="13" t="s">
        <v>42</v>
      </c>
      <c r="AJ184" s="14" t="s">
        <v>266</v>
      </c>
      <c r="AK184" s="15" t="s">
        <v>265</v>
      </c>
    </row>
    <row r="185" spans="1:37">
      <c r="A185" s="1">
        <v>14</v>
      </c>
      <c r="B185" s="16" t="s">
        <v>253</v>
      </c>
      <c r="C185" s="13" t="s">
        <v>165</v>
      </c>
      <c r="D185" s="14">
        <v>2009</v>
      </c>
      <c r="E185" s="21">
        <v>10.55</v>
      </c>
      <c r="F185" s="15">
        <v>1</v>
      </c>
      <c r="G185" s="16" t="s">
        <v>472</v>
      </c>
      <c r="H185" s="14" t="s">
        <v>671</v>
      </c>
      <c r="I185" s="13" t="s">
        <v>25</v>
      </c>
      <c r="J185" s="13">
        <v>0</v>
      </c>
      <c r="K185" s="16">
        <v>2</v>
      </c>
      <c r="L185" s="13">
        <f t="shared" si="15"/>
        <v>2</v>
      </c>
      <c r="M185" s="13">
        <v>0</v>
      </c>
      <c r="N185" s="13">
        <f t="shared" si="16"/>
        <v>0</v>
      </c>
      <c r="O185" s="13">
        <f t="shared" si="19"/>
        <v>2</v>
      </c>
      <c r="P185" s="13">
        <f t="shared" si="20"/>
        <v>2</v>
      </c>
      <c r="Q185" s="18">
        <v>2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20">
        <f t="shared" si="14"/>
        <v>2</v>
      </c>
      <c r="AD185" s="13" t="s">
        <v>223</v>
      </c>
      <c r="AE185" s="13">
        <v>2000</v>
      </c>
      <c r="AG185" s="16" t="s">
        <v>254</v>
      </c>
      <c r="AI185" s="13" t="s">
        <v>42</v>
      </c>
      <c r="AJ185" s="14" t="s">
        <v>266</v>
      </c>
      <c r="AK185" s="15" t="s">
        <v>267</v>
      </c>
    </row>
    <row r="186" spans="1:37">
      <c r="A186" s="1">
        <v>15</v>
      </c>
      <c r="B186" s="16" t="s">
        <v>253</v>
      </c>
      <c r="C186" s="13" t="s">
        <v>165</v>
      </c>
      <c r="D186" s="14">
        <v>2009</v>
      </c>
      <c r="E186" s="21">
        <v>10.56</v>
      </c>
      <c r="F186" s="15">
        <v>1</v>
      </c>
      <c r="G186" s="16" t="s">
        <v>473</v>
      </c>
      <c r="H186" s="14" t="s">
        <v>672</v>
      </c>
      <c r="I186" s="13" t="s">
        <v>25</v>
      </c>
      <c r="J186" s="13">
        <v>0</v>
      </c>
      <c r="K186" s="16">
        <v>1</v>
      </c>
      <c r="L186" s="13">
        <f t="shared" si="15"/>
        <v>1</v>
      </c>
      <c r="M186" s="13">
        <v>0</v>
      </c>
      <c r="N186" s="13">
        <f t="shared" si="16"/>
        <v>0</v>
      </c>
      <c r="O186" s="13">
        <f t="shared" si="19"/>
        <v>1</v>
      </c>
      <c r="P186" s="13">
        <f t="shared" si="20"/>
        <v>1</v>
      </c>
      <c r="Q186" s="18">
        <v>1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8">
        <v>0</v>
      </c>
      <c r="AC186" s="20">
        <f t="shared" si="14"/>
        <v>1</v>
      </c>
      <c r="AD186" s="13" t="s">
        <v>173</v>
      </c>
      <c r="AE186" s="13">
        <v>1000</v>
      </c>
      <c r="AG186" s="16" t="s">
        <v>254</v>
      </c>
      <c r="AI186" s="13" t="s">
        <v>42</v>
      </c>
      <c r="AJ186" s="14" t="s">
        <v>266</v>
      </c>
      <c r="AK186" s="15" t="s">
        <v>265</v>
      </c>
    </row>
    <row r="187" spans="1:37">
      <c r="A187" s="1">
        <v>16</v>
      </c>
      <c r="B187" s="16" t="s">
        <v>253</v>
      </c>
      <c r="C187" s="13" t="s">
        <v>165</v>
      </c>
      <c r="D187" s="14">
        <v>2009</v>
      </c>
      <c r="E187" s="21">
        <v>10.58</v>
      </c>
      <c r="F187" s="15">
        <v>1</v>
      </c>
      <c r="G187" s="16" t="s">
        <v>474</v>
      </c>
      <c r="H187" s="14" t="s">
        <v>673</v>
      </c>
      <c r="I187" s="13" t="s">
        <v>25</v>
      </c>
      <c r="J187" s="13">
        <v>0</v>
      </c>
      <c r="K187" s="16">
        <v>1</v>
      </c>
      <c r="L187" s="13">
        <f t="shared" si="15"/>
        <v>1</v>
      </c>
      <c r="M187" s="13">
        <v>1</v>
      </c>
      <c r="N187" s="13">
        <f t="shared" si="16"/>
        <v>1</v>
      </c>
      <c r="O187" s="13">
        <f t="shared" si="19"/>
        <v>2</v>
      </c>
      <c r="P187" s="13">
        <f t="shared" si="20"/>
        <v>2</v>
      </c>
      <c r="Q187" s="18">
        <v>2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20">
        <f t="shared" si="14"/>
        <v>2</v>
      </c>
      <c r="AD187" s="13" t="s">
        <v>75</v>
      </c>
      <c r="AE187" s="13">
        <v>300</v>
      </c>
      <c r="AG187" s="16" t="s">
        <v>254</v>
      </c>
      <c r="AI187" s="13" t="s">
        <v>42</v>
      </c>
      <c r="AJ187" s="14" t="s">
        <v>266</v>
      </c>
      <c r="AK187" s="15" t="s">
        <v>268</v>
      </c>
    </row>
    <row r="188" spans="1:37">
      <c r="A188" s="1">
        <v>17</v>
      </c>
      <c r="B188" s="16" t="s">
        <v>253</v>
      </c>
      <c r="C188" s="13" t="s">
        <v>165</v>
      </c>
      <c r="D188" s="14">
        <v>2009</v>
      </c>
      <c r="E188" s="21">
        <v>11.07</v>
      </c>
      <c r="F188" s="15">
        <v>1</v>
      </c>
      <c r="G188" s="16" t="s">
        <v>475</v>
      </c>
      <c r="H188" s="14" t="s">
        <v>674</v>
      </c>
      <c r="I188" s="13" t="s">
        <v>25</v>
      </c>
      <c r="J188" s="13">
        <v>0</v>
      </c>
      <c r="K188" s="16">
        <v>1</v>
      </c>
      <c r="L188" s="13">
        <f t="shared" si="15"/>
        <v>1</v>
      </c>
      <c r="M188" s="13">
        <v>1</v>
      </c>
      <c r="N188" s="13">
        <f t="shared" si="16"/>
        <v>1</v>
      </c>
      <c r="O188" s="13">
        <f t="shared" si="19"/>
        <v>2</v>
      </c>
      <c r="P188" s="13">
        <f t="shared" si="20"/>
        <v>2</v>
      </c>
      <c r="Q188" s="18">
        <v>2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20">
        <f t="shared" si="14"/>
        <v>2</v>
      </c>
      <c r="AD188" s="13" t="s">
        <v>173</v>
      </c>
      <c r="AE188" s="13">
        <v>800</v>
      </c>
      <c r="AG188" s="16" t="s">
        <v>254</v>
      </c>
      <c r="AI188" s="13" t="s">
        <v>42</v>
      </c>
      <c r="AJ188" s="14" t="s">
        <v>266</v>
      </c>
      <c r="AK188" s="15" t="s">
        <v>269</v>
      </c>
    </row>
    <row r="189" spans="1:37">
      <c r="A189" s="1">
        <v>18</v>
      </c>
      <c r="B189" s="16" t="s">
        <v>253</v>
      </c>
      <c r="C189" s="13" t="s">
        <v>165</v>
      </c>
      <c r="D189" s="14">
        <v>2009</v>
      </c>
      <c r="E189" s="21">
        <v>11.1</v>
      </c>
      <c r="F189" s="15">
        <v>1</v>
      </c>
      <c r="G189" s="16" t="s">
        <v>476</v>
      </c>
      <c r="H189" s="14" t="s">
        <v>675</v>
      </c>
      <c r="I189" s="13" t="s">
        <v>25</v>
      </c>
      <c r="J189" s="13">
        <v>0</v>
      </c>
      <c r="K189" s="16">
        <v>2</v>
      </c>
      <c r="L189" s="13">
        <f t="shared" si="15"/>
        <v>2</v>
      </c>
      <c r="M189" s="13">
        <v>0</v>
      </c>
      <c r="N189" s="13">
        <f t="shared" si="16"/>
        <v>0</v>
      </c>
      <c r="O189" s="13">
        <f t="shared" si="19"/>
        <v>2</v>
      </c>
      <c r="P189" s="13">
        <f t="shared" si="20"/>
        <v>2</v>
      </c>
      <c r="Q189" s="18">
        <v>1</v>
      </c>
      <c r="R189" s="18">
        <v>0</v>
      </c>
      <c r="S189" s="18">
        <v>0</v>
      </c>
      <c r="T189" s="18">
        <v>0</v>
      </c>
      <c r="U189" s="18">
        <v>0</v>
      </c>
      <c r="V189" s="18">
        <v>1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20">
        <f t="shared" si="14"/>
        <v>2</v>
      </c>
      <c r="AD189" s="13" t="s">
        <v>108</v>
      </c>
      <c r="AE189" s="13">
        <v>50</v>
      </c>
      <c r="AG189" s="16" t="s">
        <v>254</v>
      </c>
      <c r="AI189" s="13" t="s">
        <v>42</v>
      </c>
      <c r="AJ189" s="14" t="s">
        <v>266</v>
      </c>
      <c r="AK189" s="15" t="s">
        <v>270</v>
      </c>
    </row>
    <row r="190" spans="1:37">
      <c r="A190" s="1">
        <v>19</v>
      </c>
      <c r="B190" s="16" t="s">
        <v>253</v>
      </c>
      <c r="C190" s="13" t="s">
        <v>165</v>
      </c>
      <c r="D190" s="14">
        <v>2009</v>
      </c>
      <c r="E190" s="21">
        <v>11.13</v>
      </c>
      <c r="F190" s="15">
        <v>1</v>
      </c>
      <c r="G190" s="16" t="s">
        <v>477</v>
      </c>
      <c r="H190" s="14" t="s">
        <v>676</v>
      </c>
      <c r="I190" s="13" t="s">
        <v>25</v>
      </c>
      <c r="J190" s="13">
        <v>0</v>
      </c>
      <c r="K190" s="16">
        <v>2</v>
      </c>
      <c r="L190" s="13">
        <f t="shared" si="15"/>
        <v>2</v>
      </c>
      <c r="M190" s="13">
        <v>1</v>
      </c>
      <c r="N190" s="13">
        <f t="shared" si="16"/>
        <v>1</v>
      </c>
      <c r="O190" s="13">
        <f t="shared" si="19"/>
        <v>3</v>
      </c>
      <c r="P190" s="13">
        <f t="shared" si="20"/>
        <v>3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1</v>
      </c>
      <c r="W190" s="18">
        <v>0</v>
      </c>
      <c r="X190" s="18">
        <v>1</v>
      </c>
      <c r="Y190" s="18">
        <v>0</v>
      </c>
      <c r="Z190" s="18">
        <v>0</v>
      </c>
      <c r="AA190" s="18">
        <v>0</v>
      </c>
      <c r="AB190" s="18">
        <v>1</v>
      </c>
      <c r="AC190" s="20">
        <f t="shared" si="14"/>
        <v>3</v>
      </c>
      <c r="AD190" s="13" t="s">
        <v>226</v>
      </c>
      <c r="AE190" s="13">
        <v>100</v>
      </c>
      <c r="AG190" s="16" t="s">
        <v>254</v>
      </c>
      <c r="AI190" s="13" t="s">
        <v>42</v>
      </c>
      <c r="AJ190" s="14" t="s">
        <v>266</v>
      </c>
      <c r="AK190" s="15" t="s">
        <v>272</v>
      </c>
    </row>
    <row r="191" spans="1:37">
      <c r="A191" s="1">
        <v>20</v>
      </c>
      <c r="B191" s="16" t="s">
        <v>253</v>
      </c>
      <c r="C191" s="13" t="s">
        <v>165</v>
      </c>
      <c r="D191" s="14">
        <v>2009</v>
      </c>
      <c r="E191" s="21">
        <v>11.28</v>
      </c>
      <c r="F191" s="15">
        <v>1</v>
      </c>
      <c r="G191" s="16" t="s">
        <v>478</v>
      </c>
      <c r="H191" s="14" t="s">
        <v>677</v>
      </c>
      <c r="I191" s="13" t="s">
        <v>25</v>
      </c>
      <c r="J191" s="13">
        <v>0</v>
      </c>
      <c r="K191" s="16">
        <v>1</v>
      </c>
      <c r="L191" s="13">
        <f t="shared" si="15"/>
        <v>1</v>
      </c>
      <c r="M191" s="13">
        <v>0</v>
      </c>
      <c r="N191" s="13">
        <f t="shared" si="16"/>
        <v>0</v>
      </c>
      <c r="O191" s="13">
        <f t="shared" si="19"/>
        <v>1</v>
      </c>
      <c r="P191" s="13">
        <f t="shared" si="20"/>
        <v>1</v>
      </c>
      <c r="Q191" s="18">
        <v>1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20">
        <f t="shared" si="14"/>
        <v>1</v>
      </c>
      <c r="AD191" s="13" t="s">
        <v>170</v>
      </c>
      <c r="AE191" s="13">
        <v>1300</v>
      </c>
      <c r="AG191" s="16" t="s">
        <v>254</v>
      </c>
      <c r="AI191" s="13" t="s">
        <v>42</v>
      </c>
      <c r="AJ191" s="14" t="s">
        <v>266</v>
      </c>
      <c r="AK191" s="15" t="s">
        <v>271</v>
      </c>
    </row>
    <row r="192" spans="1:37">
      <c r="A192" s="1">
        <v>21</v>
      </c>
      <c r="B192" s="16" t="s">
        <v>253</v>
      </c>
      <c r="C192" s="13" t="s">
        <v>165</v>
      </c>
      <c r="D192" s="14">
        <v>2009</v>
      </c>
      <c r="E192" s="21">
        <v>11.37</v>
      </c>
      <c r="F192" s="15">
        <v>1</v>
      </c>
      <c r="G192" s="16" t="s">
        <v>479</v>
      </c>
      <c r="H192" s="14" t="s">
        <v>678</v>
      </c>
      <c r="I192" s="13" t="s">
        <v>25</v>
      </c>
      <c r="J192" s="13">
        <v>0</v>
      </c>
      <c r="K192" s="16">
        <v>1</v>
      </c>
      <c r="L192" s="13">
        <f t="shared" si="15"/>
        <v>1</v>
      </c>
      <c r="M192" s="13">
        <v>0</v>
      </c>
      <c r="N192" s="13">
        <f t="shared" si="16"/>
        <v>0</v>
      </c>
      <c r="O192" s="13">
        <f t="shared" si="19"/>
        <v>1</v>
      </c>
      <c r="P192" s="13">
        <f t="shared" si="20"/>
        <v>1</v>
      </c>
      <c r="Q192" s="18">
        <v>0</v>
      </c>
      <c r="R192" s="18">
        <v>1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20">
        <f t="shared" si="14"/>
        <v>1</v>
      </c>
      <c r="AD192" s="13" t="s">
        <v>226</v>
      </c>
      <c r="AE192" s="13">
        <v>650</v>
      </c>
      <c r="AG192" s="16" t="s">
        <v>254</v>
      </c>
      <c r="AI192" s="13" t="s">
        <v>42</v>
      </c>
      <c r="AJ192" s="14" t="s">
        <v>266</v>
      </c>
      <c r="AK192" s="15" t="s">
        <v>265</v>
      </c>
    </row>
    <row r="193" spans="1:37">
      <c r="A193" s="1">
        <v>22</v>
      </c>
      <c r="B193" s="16" t="s">
        <v>253</v>
      </c>
      <c r="C193" s="13" t="s">
        <v>165</v>
      </c>
      <c r="D193" s="14">
        <v>2009</v>
      </c>
      <c r="E193" s="21">
        <v>11.44</v>
      </c>
      <c r="F193" s="15">
        <v>1</v>
      </c>
      <c r="G193" s="16" t="s">
        <v>480</v>
      </c>
      <c r="H193" s="14" t="s">
        <v>679</v>
      </c>
      <c r="I193" s="13">
        <v>0</v>
      </c>
      <c r="J193" s="13" t="s">
        <v>273</v>
      </c>
      <c r="AC193" s="20">
        <f t="shared" si="14"/>
        <v>0</v>
      </c>
      <c r="AD193" s="13" t="s">
        <v>108</v>
      </c>
      <c r="AE193" s="13">
        <v>50</v>
      </c>
      <c r="AG193" s="16" t="s">
        <v>254</v>
      </c>
      <c r="AI193" s="13" t="s">
        <v>42</v>
      </c>
      <c r="AJ193" s="14" t="s">
        <v>266</v>
      </c>
      <c r="AK193" s="15" t="s">
        <v>274</v>
      </c>
    </row>
    <row r="194" spans="1:37">
      <c r="A194" s="1">
        <v>23</v>
      </c>
      <c r="B194" s="16" t="s">
        <v>253</v>
      </c>
      <c r="C194" s="13" t="s">
        <v>165</v>
      </c>
      <c r="D194" s="14">
        <v>2009</v>
      </c>
      <c r="E194" s="21">
        <v>11.48</v>
      </c>
      <c r="F194" s="15">
        <v>1</v>
      </c>
      <c r="G194" s="16" t="s">
        <v>481</v>
      </c>
      <c r="H194" s="14" t="s">
        <v>680</v>
      </c>
      <c r="I194" s="13" t="s">
        <v>25</v>
      </c>
      <c r="J194" s="13">
        <v>0</v>
      </c>
      <c r="K194" s="16">
        <v>1</v>
      </c>
      <c r="L194" s="13">
        <f t="shared" si="15"/>
        <v>1</v>
      </c>
      <c r="M194" s="13">
        <v>0</v>
      </c>
      <c r="N194" s="13">
        <f t="shared" si="16"/>
        <v>0</v>
      </c>
      <c r="O194" s="13">
        <f t="shared" si="19"/>
        <v>1</v>
      </c>
      <c r="P194" s="13">
        <f t="shared" si="20"/>
        <v>1</v>
      </c>
      <c r="Q194" s="18">
        <v>1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20">
        <f t="shared" si="14"/>
        <v>1</v>
      </c>
      <c r="AD194" s="13" t="s">
        <v>173</v>
      </c>
      <c r="AE194" s="13">
        <v>2200</v>
      </c>
      <c r="AG194" s="16" t="s">
        <v>254</v>
      </c>
      <c r="AI194" s="13" t="s">
        <v>42</v>
      </c>
      <c r="AJ194" s="14" t="s">
        <v>266</v>
      </c>
      <c r="AK194" s="15" t="s">
        <v>264</v>
      </c>
    </row>
    <row r="195" spans="1:37">
      <c r="A195" s="1">
        <v>24</v>
      </c>
      <c r="B195" s="16" t="s">
        <v>253</v>
      </c>
      <c r="C195" s="13" t="s">
        <v>165</v>
      </c>
      <c r="D195" s="14">
        <v>2009</v>
      </c>
      <c r="E195" s="21">
        <v>11.51</v>
      </c>
      <c r="F195" s="15">
        <v>1</v>
      </c>
      <c r="G195" s="16" t="s">
        <v>713</v>
      </c>
      <c r="H195" s="14" t="s">
        <v>681</v>
      </c>
      <c r="I195" s="13" t="s">
        <v>25</v>
      </c>
      <c r="J195" s="13">
        <v>0</v>
      </c>
      <c r="K195" s="16">
        <v>1</v>
      </c>
      <c r="L195" s="13">
        <f t="shared" si="15"/>
        <v>1</v>
      </c>
      <c r="M195" s="13">
        <v>1</v>
      </c>
      <c r="N195" s="13">
        <f t="shared" si="16"/>
        <v>1</v>
      </c>
      <c r="O195" s="13">
        <f t="shared" si="19"/>
        <v>2</v>
      </c>
      <c r="P195" s="13">
        <f t="shared" si="20"/>
        <v>2</v>
      </c>
      <c r="Q195" s="18">
        <v>2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20">
        <f t="shared" si="14"/>
        <v>2</v>
      </c>
      <c r="AD195" s="13" t="s">
        <v>108</v>
      </c>
      <c r="AE195" s="13">
        <v>1300</v>
      </c>
      <c r="AG195" s="16" t="s">
        <v>254</v>
      </c>
      <c r="AI195" s="13" t="s">
        <v>42</v>
      </c>
      <c r="AJ195" s="14" t="s">
        <v>266</v>
      </c>
      <c r="AK195" s="15" t="s">
        <v>275</v>
      </c>
    </row>
    <row r="196" spans="1:37">
      <c r="A196" s="1">
        <v>25</v>
      </c>
      <c r="B196" s="16" t="s">
        <v>253</v>
      </c>
      <c r="C196" s="13" t="s">
        <v>165</v>
      </c>
      <c r="D196" s="14">
        <v>2009</v>
      </c>
      <c r="E196" s="21">
        <v>11.56</v>
      </c>
      <c r="F196" s="15">
        <v>1</v>
      </c>
      <c r="G196" s="16" t="s">
        <v>482</v>
      </c>
      <c r="H196" s="14" t="s">
        <v>682</v>
      </c>
      <c r="I196" s="13" t="s">
        <v>25</v>
      </c>
      <c r="J196" s="13">
        <v>0</v>
      </c>
      <c r="K196" s="16">
        <v>1</v>
      </c>
      <c r="L196" s="13">
        <f t="shared" si="15"/>
        <v>1</v>
      </c>
      <c r="M196" s="13">
        <v>0</v>
      </c>
      <c r="N196" s="13">
        <f t="shared" si="16"/>
        <v>0</v>
      </c>
      <c r="O196" s="13">
        <f t="shared" si="19"/>
        <v>1</v>
      </c>
      <c r="P196" s="13">
        <f t="shared" si="20"/>
        <v>1</v>
      </c>
      <c r="Q196" s="18">
        <v>1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20">
        <f t="shared" ref="AC196:AC224" si="21">Q196+R196+S196+T196+U196+V196+W196+X196+Y196+Z196+AB196+AA196</f>
        <v>1</v>
      </c>
      <c r="AD196" s="13" t="s">
        <v>75</v>
      </c>
      <c r="AE196" s="13">
        <v>2900</v>
      </c>
      <c r="AG196" s="16" t="s">
        <v>254</v>
      </c>
      <c r="AI196" s="13" t="s">
        <v>42</v>
      </c>
      <c r="AJ196" s="14" t="s">
        <v>266</v>
      </c>
      <c r="AK196" s="15" t="s">
        <v>276</v>
      </c>
    </row>
    <row r="197" spans="1:37">
      <c r="A197" s="1">
        <v>26</v>
      </c>
      <c r="B197" s="16" t="s">
        <v>253</v>
      </c>
      <c r="C197" s="13" t="s">
        <v>165</v>
      </c>
      <c r="D197" s="14">
        <v>2009</v>
      </c>
      <c r="E197" s="21">
        <v>11.59</v>
      </c>
      <c r="F197" s="15">
        <v>1</v>
      </c>
      <c r="G197" s="16" t="s">
        <v>483</v>
      </c>
      <c r="H197" s="14" t="s">
        <v>683</v>
      </c>
      <c r="I197" s="13" t="s">
        <v>25</v>
      </c>
      <c r="J197" s="13">
        <v>0</v>
      </c>
      <c r="K197" s="16">
        <v>1</v>
      </c>
      <c r="L197" s="13">
        <f t="shared" si="15"/>
        <v>1</v>
      </c>
      <c r="M197" s="13">
        <v>1</v>
      </c>
      <c r="N197" s="13">
        <f t="shared" si="16"/>
        <v>1</v>
      </c>
      <c r="O197" s="13">
        <f t="shared" si="19"/>
        <v>2</v>
      </c>
      <c r="P197" s="13">
        <f t="shared" si="20"/>
        <v>2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2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20">
        <f t="shared" si="21"/>
        <v>2</v>
      </c>
      <c r="AD197" s="13" t="s">
        <v>173</v>
      </c>
      <c r="AE197" s="13">
        <v>600</v>
      </c>
      <c r="AG197" s="16" t="s">
        <v>254</v>
      </c>
      <c r="AI197" s="13" t="s">
        <v>42</v>
      </c>
      <c r="AJ197" s="14" t="s">
        <v>266</v>
      </c>
      <c r="AK197" s="15" t="s">
        <v>225</v>
      </c>
    </row>
    <row r="198" spans="1:37">
      <c r="A198" s="1">
        <v>27</v>
      </c>
      <c r="B198" s="16" t="s">
        <v>253</v>
      </c>
      <c r="C198" s="13" t="s">
        <v>165</v>
      </c>
      <c r="D198" s="14">
        <v>2009</v>
      </c>
      <c r="E198" s="21">
        <v>12</v>
      </c>
      <c r="F198" s="15">
        <v>1</v>
      </c>
      <c r="G198" s="16" t="s">
        <v>484</v>
      </c>
      <c r="H198" s="14" t="s">
        <v>684</v>
      </c>
      <c r="I198" s="13" t="s">
        <v>25</v>
      </c>
      <c r="J198" s="13">
        <v>0</v>
      </c>
      <c r="K198" s="16">
        <v>2</v>
      </c>
      <c r="L198" s="13">
        <f t="shared" si="15"/>
        <v>2</v>
      </c>
      <c r="M198" s="13">
        <v>1</v>
      </c>
      <c r="N198" s="13">
        <f t="shared" si="16"/>
        <v>1</v>
      </c>
      <c r="O198" s="13">
        <f t="shared" si="19"/>
        <v>3</v>
      </c>
      <c r="P198" s="13">
        <f t="shared" si="20"/>
        <v>3</v>
      </c>
      <c r="Q198" s="18">
        <v>3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20">
        <f t="shared" si="21"/>
        <v>3</v>
      </c>
      <c r="AD198" s="13" t="s">
        <v>226</v>
      </c>
      <c r="AE198" s="13">
        <v>900</v>
      </c>
      <c r="AF198" s="14" t="s">
        <v>157</v>
      </c>
      <c r="AG198" s="16" t="s">
        <v>254</v>
      </c>
      <c r="AI198" s="13" t="s">
        <v>42</v>
      </c>
      <c r="AJ198" s="14" t="s">
        <v>266</v>
      </c>
      <c r="AK198" s="15" t="s">
        <v>277</v>
      </c>
    </row>
    <row r="199" spans="1:37">
      <c r="A199" s="1">
        <v>28</v>
      </c>
      <c r="B199" s="16" t="s">
        <v>253</v>
      </c>
      <c r="C199" s="13" t="s">
        <v>165</v>
      </c>
      <c r="D199" s="14">
        <v>2009</v>
      </c>
      <c r="E199" s="21">
        <v>12.02</v>
      </c>
      <c r="F199" s="15">
        <v>1</v>
      </c>
      <c r="G199" s="16" t="s">
        <v>485</v>
      </c>
      <c r="H199" s="14" t="s">
        <v>685</v>
      </c>
      <c r="I199" s="13" t="s">
        <v>25</v>
      </c>
      <c r="J199" s="13">
        <v>0</v>
      </c>
      <c r="K199" s="16">
        <v>1</v>
      </c>
      <c r="L199" s="13">
        <f t="shared" si="15"/>
        <v>1</v>
      </c>
      <c r="M199" s="13">
        <v>0</v>
      </c>
      <c r="N199" s="13">
        <f t="shared" si="16"/>
        <v>0</v>
      </c>
      <c r="O199" s="13">
        <f t="shared" si="19"/>
        <v>1</v>
      </c>
      <c r="P199" s="13">
        <f t="shared" si="20"/>
        <v>1</v>
      </c>
      <c r="Q199" s="18">
        <v>1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8">
        <v>0</v>
      </c>
      <c r="AC199" s="20">
        <f t="shared" si="21"/>
        <v>1</v>
      </c>
      <c r="AD199" s="13" t="s">
        <v>226</v>
      </c>
      <c r="AE199" s="13">
        <v>700</v>
      </c>
      <c r="AG199" s="16" t="s">
        <v>254</v>
      </c>
      <c r="AI199" s="13" t="s">
        <v>42</v>
      </c>
      <c r="AJ199" s="14" t="s">
        <v>266</v>
      </c>
      <c r="AK199" s="15" t="s">
        <v>278</v>
      </c>
    </row>
    <row r="200" spans="1:37">
      <c r="A200" s="1">
        <v>29</v>
      </c>
      <c r="B200" s="16" t="s">
        <v>253</v>
      </c>
      <c r="C200" s="13" t="s">
        <v>165</v>
      </c>
      <c r="D200" s="14">
        <v>2009</v>
      </c>
      <c r="E200" s="21">
        <v>12.09</v>
      </c>
      <c r="F200" s="15">
        <v>1</v>
      </c>
      <c r="G200" s="16" t="s">
        <v>486</v>
      </c>
      <c r="H200" s="14" t="s">
        <v>686</v>
      </c>
      <c r="I200" s="13" t="s">
        <v>25</v>
      </c>
      <c r="J200" s="13">
        <v>0</v>
      </c>
      <c r="K200" s="16">
        <v>1</v>
      </c>
      <c r="L200" s="13">
        <f t="shared" si="15"/>
        <v>1</v>
      </c>
      <c r="M200" s="13">
        <v>0</v>
      </c>
      <c r="N200" s="13">
        <f t="shared" si="16"/>
        <v>0</v>
      </c>
      <c r="O200" s="13">
        <f t="shared" si="19"/>
        <v>1</v>
      </c>
      <c r="P200" s="13">
        <f t="shared" si="20"/>
        <v>1</v>
      </c>
      <c r="Q200" s="18">
        <v>1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20">
        <f t="shared" si="21"/>
        <v>1</v>
      </c>
      <c r="AD200" s="13" t="s">
        <v>75</v>
      </c>
      <c r="AE200" s="13">
        <v>3000</v>
      </c>
      <c r="AG200" s="16" t="s">
        <v>254</v>
      </c>
      <c r="AI200" s="13" t="s">
        <v>42</v>
      </c>
      <c r="AJ200" s="14" t="s">
        <v>266</v>
      </c>
      <c r="AK200" s="15" t="s">
        <v>279</v>
      </c>
    </row>
    <row r="201" spans="1:37">
      <c r="A201" s="1">
        <v>30</v>
      </c>
      <c r="B201" s="16" t="s">
        <v>253</v>
      </c>
      <c r="C201" s="13" t="s">
        <v>165</v>
      </c>
      <c r="D201" s="14">
        <v>2009</v>
      </c>
      <c r="E201" s="21">
        <v>12.2</v>
      </c>
      <c r="F201" s="15">
        <v>1</v>
      </c>
      <c r="G201" s="16" t="s">
        <v>487</v>
      </c>
      <c r="H201" s="14" t="s">
        <v>687</v>
      </c>
      <c r="I201" s="13" t="s">
        <v>25</v>
      </c>
      <c r="J201" s="13">
        <v>0</v>
      </c>
      <c r="K201" s="16">
        <v>1</v>
      </c>
      <c r="L201" s="13">
        <f t="shared" si="15"/>
        <v>1</v>
      </c>
      <c r="M201" s="13">
        <v>0</v>
      </c>
      <c r="N201" s="13">
        <f t="shared" si="16"/>
        <v>0</v>
      </c>
      <c r="O201" s="13">
        <f t="shared" si="19"/>
        <v>1</v>
      </c>
      <c r="P201" s="13">
        <f t="shared" si="20"/>
        <v>1</v>
      </c>
      <c r="Q201" s="18">
        <v>1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20">
        <f t="shared" si="21"/>
        <v>1</v>
      </c>
      <c r="AD201" s="13" t="s">
        <v>170</v>
      </c>
      <c r="AE201" s="13">
        <v>2000</v>
      </c>
      <c r="AG201" s="16" t="s">
        <v>254</v>
      </c>
      <c r="AI201" s="13" t="s">
        <v>42</v>
      </c>
      <c r="AJ201" s="14" t="s">
        <v>266</v>
      </c>
      <c r="AK201" s="15" t="s">
        <v>277</v>
      </c>
    </row>
    <row r="202" spans="1:37">
      <c r="A202" s="1">
        <v>31</v>
      </c>
      <c r="B202" s="16" t="s">
        <v>253</v>
      </c>
      <c r="C202" s="13" t="s">
        <v>165</v>
      </c>
      <c r="D202" s="14">
        <v>2009</v>
      </c>
      <c r="E202" s="21">
        <v>12.24</v>
      </c>
      <c r="F202" s="15">
        <v>1</v>
      </c>
      <c r="G202" s="16" t="s">
        <v>488</v>
      </c>
      <c r="H202" s="14" t="s">
        <v>688</v>
      </c>
      <c r="I202" s="13" t="s">
        <v>25</v>
      </c>
      <c r="J202" s="13">
        <v>0</v>
      </c>
      <c r="K202" s="16">
        <v>1</v>
      </c>
      <c r="L202" s="13">
        <f t="shared" si="15"/>
        <v>1</v>
      </c>
      <c r="M202" s="13">
        <v>0</v>
      </c>
      <c r="N202" s="13">
        <f t="shared" si="16"/>
        <v>0</v>
      </c>
      <c r="O202" s="13">
        <f t="shared" si="19"/>
        <v>1</v>
      </c>
      <c r="P202" s="13">
        <f t="shared" si="20"/>
        <v>1</v>
      </c>
      <c r="Q202" s="18">
        <v>1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18">
        <v>0</v>
      </c>
      <c r="AB202" s="18">
        <v>0</v>
      </c>
      <c r="AC202" s="20">
        <f t="shared" si="21"/>
        <v>1</v>
      </c>
      <c r="AD202" s="13" t="s">
        <v>75</v>
      </c>
      <c r="AE202" s="13">
        <v>1400</v>
      </c>
      <c r="AG202" s="16" t="s">
        <v>254</v>
      </c>
      <c r="AI202" s="13" t="s">
        <v>42</v>
      </c>
      <c r="AJ202" s="14" t="s">
        <v>280</v>
      </c>
      <c r="AK202" s="15" t="s">
        <v>281</v>
      </c>
    </row>
    <row r="203" spans="1:37">
      <c r="A203" s="1">
        <v>32</v>
      </c>
      <c r="B203" s="16" t="s">
        <v>253</v>
      </c>
      <c r="C203" s="13" t="s">
        <v>165</v>
      </c>
      <c r="D203" s="14">
        <v>2009</v>
      </c>
      <c r="E203" s="21">
        <v>12.25</v>
      </c>
      <c r="F203" s="15">
        <v>1</v>
      </c>
      <c r="G203" s="16" t="s">
        <v>489</v>
      </c>
      <c r="H203" s="14" t="s">
        <v>689</v>
      </c>
      <c r="I203" s="13" t="s">
        <v>25</v>
      </c>
      <c r="J203" s="13">
        <v>0</v>
      </c>
      <c r="K203" s="16">
        <v>1</v>
      </c>
      <c r="L203" s="13">
        <f t="shared" si="15"/>
        <v>1</v>
      </c>
      <c r="M203" s="13">
        <v>1</v>
      </c>
      <c r="N203" s="13">
        <f t="shared" si="16"/>
        <v>1</v>
      </c>
      <c r="O203" s="13">
        <f t="shared" si="19"/>
        <v>2</v>
      </c>
      <c r="P203" s="13">
        <f t="shared" si="20"/>
        <v>2</v>
      </c>
      <c r="Q203" s="18">
        <v>2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8">
        <v>0</v>
      </c>
      <c r="AC203" s="20">
        <f t="shared" si="21"/>
        <v>2</v>
      </c>
      <c r="AD203" s="13" t="s">
        <v>108</v>
      </c>
      <c r="AE203" s="13">
        <v>50</v>
      </c>
      <c r="AG203" s="16" t="s">
        <v>254</v>
      </c>
      <c r="AI203" s="13" t="s">
        <v>42</v>
      </c>
      <c r="AJ203" s="14" t="s">
        <v>280</v>
      </c>
      <c r="AK203" s="15" t="s">
        <v>282</v>
      </c>
    </row>
    <row r="204" spans="1:37">
      <c r="A204" s="1">
        <v>33</v>
      </c>
      <c r="B204" s="16" t="s">
        <v>253</v>
      </c>
      <c r="C204" s="13" t="s">
        <v>165</v>
      </c>
      <c r="D204" s="14">
        <v>2009</v>
      </c>
      <c r="E204" s="21">
        <v>12.41</v>
      </c>
      <c r="F204" s="15">
        <v>1</v>
      </c>
      <c r="G204" s="16" t="s">
        <v>490</v>
      </c>
      <c r="H204" s="14" t="s">
        <v>690</v>
      </c>
      <c r="I204" s="13" t="s">
        <v>25</v>
      </c>
      <c r="J204" s="13">
        <v>0</v>
      </c>
      <c r="K204" s="16">
        <v>1</v>
      </c>
      <c r="L204" s="13">
        <f t="shared" si="15"/>
        <v>1</v>
      </c>
      <c r="M204" s="13">
        <v>0</v>
      </c>
      <c r="N204" s="13">
        <f t="shared" si="16"/>
        <v>0</v>
      </c>
      <c r="O204" s="13">
        <f t="shared" si="19"/>
        <v>1</v>
      </c>
      <c r="P204" s="13">
        <f t="shared" si="20"/>
        <v>1</v>
      </c>
      <c r="Q204" s="18">
        <v>0</v>
      </c>
      <c r="R204" s="18">
        <v>1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8">
        <v>0</v>
      </c>
      <c r="AC204" s="20">
        <f t="shared" si="21"/>
        <v>1</v>
      </c>
      <c r="AD204" s="13" t="s">
        <v>75</v>
      </c>
      <c r="AE204" s="13">
        <v>800</v>
      </c>
      <c r="AG204" s="16" t="s">
        <v>254</v>
      </c>
      <c r="AI204" s="13" t="s">
        <v>42</v>
      </c>
      <c r="AJ204" s="14" t="s">
        <v>280</v>
      </c>
      <c r="AK204" s="15" t="s">
        <v>283</v>
      </c>
    </row>
    <row r="205" spans="1:37">
      <c r="A205" s="1">
        <v>34</v>
      </c>
      <c r="B205" s="16" t="s">
        <v>253</v>
      </c>
      <c r="C205" s="13" t="s">
        <v>165</v>
      </c>
      <c r="D205" s="14">
        <v>2009</v>
      </c>
      <c r="E205" s="21">
        <v>12.46</v>
      </c>
      <c r="F205" s="15">
        <v>1</v>
      </c>
      <c r="G205" s="16" t="s">
        <v>491</v>
      </c>
      <c r="H205" s="14" t="s">
        <v>691</v>
      </c>
      <c r="I205" s="13" t="s">
        <v>25</v>
      </c>
      <c r="J205" s="13">
        <v>0</v>
      </c>
      <c r="K205" s="16">
        <v>1</v>
      </c>
      <c r="L205" s="13">
        <f t="shared" si="15"/>
        <v>1</v>
      </c>
      <c r="M205" s="13">
        <v>0</v>
      </c>
      <c r="N205" s="13">
        <f t="shared" si="16"/>
        <v>0</v>
      </c>
      <c r="O205" s="13">
        <f t="shared" si="19"/>
        <v>1</v>
      </c>
      <c r="P205" s="13">
        <f t="shared" si="20"/>
        <v>1</v>
      </c>
      <c r="Q205" s="18">
        <v>0</v>
      </c>
      <c r="R205" s="18">
        <v>1</v>
      </c>
      <c r="S205" s="18">
        <v>0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18">
        <v>0</v>
      </c>
      <c r="AC205" s="20">
        <f t="shared" si="21"/>
        <v>1</v>
      </c>
      <c r="AD205" s="13" t="s">
        <v>173</v>
      </c>
      <c r="AE205" s="13">
        <v>1000</v>
      </c>
      <c r="AG205" s="16" t="s">
        <v>254</v>
      </c>
      <c r="AI205" s="13" t="s">
        <v>42</v>
      </c>
      <c r="AJ205" s="14" t="s">
        <v>280</v>
      </c>
      <c r="AK205" s="15" t="s">
        <v>284</v>
      </c>
    </row>
    <row r="206" spans="1:37">
      <c r="A206" s="1">
        <v>35</v>
      </c>
      <c r="B206" s="16" t="s">
        <v>253</v>
      </c>
      <c r="C206" s="13" t="s">
        <v>165</v>
      </c>
      <c r="D206" s="14">
        <v>2009</v>
      </c>
      <c r="E206" s="21">
        <v>12.48</v>
      </c>
      <c r="F206" s="15">
        <v>1</v>
      </c>
      <c r="G206" s="16" t="s">
        <v>491</v>
      </c>
      <c r="H206" s="14" t="s">
        <v>692</v>
      </c>
      <c r="I206" s="13" t="s">
        <v>25</v>
      </c>
      <c r="J206" s="13">
        <v>0</v>
      </c>
      <c r="K206" s="16">
        <v>1</v>
      </c>
      <c r="L206" s="13">
        <f t="shared" si="15"/>
        <v>1</v>
      </c>
      <c r="M206" s="13">
        <v>0</v>
      </c>
      <c r="N206" s="13">
        <f t="shared" si="16"/>
        <v>0</v>
      </c>
      <c r="O206" s="13">
        <f t="shared" si="19"/>
        <v>1</v>
      </c>
      <c r="P206" s="13">
        <f t="shared" si="20"/>
        <v>1</v>
      </c>
      <c r="Q206" s="18">
        <v>0</v>
      </c>
      <c r="R206" s="18">
        <v>0</v>
      </c>
      <c r="S206" s="18">
        <v>1</v>
      </c>
      <c r="T206" s="18">
        <v>1</v>
      </c>
      <c r="U206" s="18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8">
        <v>0</v>
      </c>
      <c r="AC206" s="20">
        <f t="shared" si="21"/>
        <v>2</v>
      </c>
      <c r="AD206" s="13" t="s">
        <v>226</v>
      </c>
      <c r="AE206" s="13">
        <v>750</v>
      </c>
      <c r="AG206" s="16" t="s">
        <v>254</v>
      </c>
      <c r="AI206" s="13" t="s">
        <v>42</v>
      </c>
      <c r="AJ206" s="14" t="s">
        <v>280</v>
      </c>
      <c r="AK206" s="15" t="s">
        <v>284</v>
      </c>
    </row>
    <row r="207" spans="1:37">
      <c r="A207" s="1">
        <v>36</v>
      </c>
      <c r="B207" s="16" t="s">
        <v>253</v>
      </c>
      <c r="C207" s="13" t="s">
        <v>165</v>
      </c>
      <c r="D207" s="14">
        <v>2009</v>
      </c>
      <c r="E207" s="21">
        <v>12.53</v>
      </c>
      <c r="F207" s="15">
        <v>1</v>
      </c>
      <c r="G207" s="16" t="s">
        <v>492</v>
      </c>
      <c r="H207" s="14" t="s">
        <v>693</v>
      </c>
      <c r="I207" s="13">
        <v>0</v>
      </c>
      <c r="J207" s="13" t="s">
        <v>273</v>
      </c>
      <c r="AC207" s="20">
        <f t="shared" si="21"/>
        <v>0</v>
      </c>
      <c r="AD207" s="13" t="s">
        <v>108</v>
      </c>
      <c r="AE207" s="13">
        <v>50</v>
      </c>
      <c r="AG207" s="16" t="s">
        <v>254</v>
      </c>
      <c r="AI207" s="13" t="s">
        <v>42</v>
      </c>
      <c r="AJ207" s="14" t="s">
        <v>280</v>
      </c>
      <c r="AK207" s="15" t="s">
        <v>285</v>
      </c>
    </row>
    <row r="208" spans="1:37">
      <c r="A208" s="1">
        <v>37</v>
      </c>
      <c r="B208" s="16" t="s">
        <v>253</v>
      </c>
      <c r="C208" s="13" t="s">
        <v>165</v>
      </c>
      <c r="D208" s="14">
        <v>2009</v>
      </c>
      <c r="E208" s="21">
        <v>12.55</v>
      </c>
      <c r="F208" s="15">
        <v>1</v>
      </c>
      <c r="G208" s="16" t="s">
        <v>493</v>
      </c>
      <c r="H208" s="14" t="s">
        <v>694</v>
      </c>
      <c r="I208" s="13" t="s">
        <v>25</v>
      </c>
      <c r="J208" s="13">
        <v>0</v>
      </c>
      <c r="K208" s="16">
        <v>1</v>
      </c>
      <c r="L208" s="13">
        <f t="shared" si="15"/>
        <v>1</v>
      </c>
      <c r="M208" s="13">
        <v>1</v>
      </c>
      <c r="N208" s="13">
        <f t="shared" si="16"/>
        <v>1</v>
      </c>
      <c r="O208" s="13">
        <f t="shared" si="19"/>
        <v>2</v>
      </c>
      <c r="P208" s="13">
        <f t="shared" si="20"/>
        <v>2</v>
      </c>
      <c r="Q208" s="18">
        <v>0</v>
      </c>
      <c r="R208" s="18">
        <v>0</v>
      </c>
      <c r="S208" s="18">
        <v>1</v>
      </c>
      <c r="T208" s="18">
        <v>1</v>
      </c>
      <c r="U208" s="18">
        <v>0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18">
        <v>0</v>
      </c>
      <c r="AC208" s="20">
        <f t="shared" si="21"/>
        <v>2</v>
      </c>
      <c r="AD208" s="13" t="s">
        <v>173</v>
      </c>
      <c r="AE208" s="13">
        <v>100</v>
      </c>
      <c r="AF208" s="14" t="s">
        <v>170</v>
      </c>
      <c r="AG208" s="16" t="s">
        <v>254</v>
      </c>
      <c r="AI208" s="13" t="s">
        <v>42</v>
      </c>
      <c r="AJ208" s="14" t="s">
        <v>280</v>
      </c>
      <c r="AK208" s="15" t="s">
        <v>286</v>
      </c>
    </row>
    <row r="209" spans="1:37">
      <c r="A209" s="1">
        <v>38</v>
      </c>
      <c r="B209" s="16" t="s">
        <v>253</v>
      </c>
      <c r="C209" s="13" t="s">
        <v>165</v>
      </c>
      <c r="D209" s="14">
        <v>2009</v>
      </c>
      <c r="E209" s="21">
        <v>12.57</v>
      </c>
      <c r="F209" s="15">
        <v>1</v>
      </c>
      <c r="G209" s="16" t="s">
        <v>494</v>
      </c>
      <c r="H209" s="14" t="s">
        <v>695</v>
      </c>
      <c r="I209" s="13" t="s">
        <v>25</v>
      </c>
      <c r="J209" s="13">
        <v>0</v>
      </c>
      <c r="K209" s="16">
        <v>1</v>
      </c>
      <c r="L209" s="13">
        <f t="shared" si="15"/>
        <v>1</v>
      </c>
      <c r="M209" s="13">
        <v>0</v>
      </c>
      <c r="N209" s="13">
        <f t="shared" si="16"/>
        <v>0</v>
      </c>
      <c r="O209" s="13">
        <f t="shared" si="19"/>
        <v>1</v>
      </c>
      <c r="P209" s="13">
        <f t="shared" si="20"/>
        <v>1</v>
      </c>
      <c r="Q209" s="18">
        <v>0</v>
      </c>
      <c r="R209" s="18">
        <v>1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8">
        <v>0</v>
      </c>
      <c r="AC209" s="20">
        <f t="shared" si="21"/>
        <v>1</v>
      </c>
      <c r="AD209" s="13" t="s">
        <v>75</v>
      </c>
      <c r="AE209" s="13">
        <v>750</v>
      </c>
      <c r="AG209" s="16" t="s">
        <v>254</v>
      </c>
      <c r="AI209" s="13" t="s">
        <v>42</v>
      </c>
      <c r="AJ209" s="14" t="s">
        <v>280</v>
      </c>
      <c r="AK209" s="15" t="s">
        <v>287</v>
      </c>
    </row>
    <row r="210" spans="1:37">
      <c r="A210" s="1">
        <v>39</v>
      </c>
      <c r="B210" s="16" t="s">
        <v>253</v>
      </c>
      <c r="C210" s="13" t="s">
        <v>165</v>
      </c>
      <c r="D210" s="14">
        <v>2009</v>
      </c>
      <c r="E210" s="21">
        <v>12.59</v>
      </c>
      <c r="F210" s="15">
        <v>1</v>
      </c>
      <c r="G210" s="16" t="s">
        <v>495</v>
      </c>
      <c r="H210" s="14" t="s">
        <v>696</v>
      </c>
      <c r="I210" s="13" t="s">
        <v>25</v>
      </c>
      <c r="J210" s="13">
        <v>0</v>
      </c>
      <c r="K210" s="16">
        <v>1</v>
      </c>
      <c r="L210" s="13">
        <f t="shared" si="15"/>
        <v>1</v>
      </c>
      <c r="M210" s="13">
        <v>1</v>
      </c>
      <c r="N210" s="13">
        <f t="shared" si="16"/>
        <v>1</v>
      </c>
      <c r="O210" s="13">
        <f t="shared" si="19"/>
        <v>2</v>
      </c>
      <c r="P210" s="13">
        <f t="shared" si="20"/>
        <v>2</v>
      </c>
      <c r="Q210" s="18">
        <v>0</v>
      </c>
      <c r="R210" s="18">
        <v>0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1</v>
      </c>
      <c r="AB210" s="18">
        <v>0</v>
      </c>
      <c r="AC210" s="20">
        <f t="shared" si="21"/>
        <v>1</v>
      </c>
      <c r="AD210" s="13" t="s">
        <v>173</v>
      </c>
      <c r="AE210" s="13">
        <v>800</v>
      </c>
      <c r="AG210" s="16" t="s">
        <v>254</v>
      </c>
      <c r="AI210" s="13" t="s">
        <v>42</v>
      </c>
      <c r="AJ210" s="14" t="s">
        <v>280</v>
      </c>
      <c r="AK210" s="15" t="s">
        <v>288</v>
      </c>
    </row>
    <row r="211" spans="1:37">
      <c r="A211" s="1">
        <v>40</v>
      </c>
      <c r="B211" s="16" t="s">
        <v>253</v>
      </c>
      <c r="C211" s="13" t="s">
        <v>165</v>
      </c>
      <c r="D211" s="14">
        <v>2009</v>
      </c>
      <c r="E211" s="21">
        <v>13.01</v>
      </c>
      <c r="F211" s="15">
        <v>1</v>
      </c>
      <c r="G211" s="16" t="s">
        <v>496</v>
      </c>
      <c r="H211" s="14" t="s">
        <v>697</v>
      </c>
      <c r="I211" s="13" t="s">
        <v>25</v>
      </c>
      <c r="J211" s="13">
        <v>0</v>
      </c>
      <c r="K211" s="16">
        <v>1</v>
      </c>
      <c r="L211" s="13">
        <f t="shared" si="15"/>
        <v>1</v>
      </c>
      <c r="M211" s="13">
        <v>0</v>
      </c>
      <c r="N211" s="13">
        <f t="shared" si="16"/>
        <v>0</v>
      </c>
      <c r="O211" s="13">
        <f t="shared" si="19"/>
        <v>1</v>
      </c>
      <c r="P211" s="13">
        <f t="shared" si="20"/>
        <v>1</v>
      </c>
      <c r="Q211" s="18">
        <v>0</v>
      </c>
      <c r="R211" s="18">
        <v>0</v>
      </c>
      <c r="S211" s="18">
        <v>0</v>
      </c>
      <c r="T211" s="18">
        <v>0</v>
      </c>
      <c r="U211" s="18">
        <v>1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 s="20">
        <f t="shared" si="21"/>
        <v>1</v>
      </c>
      <c r="AD211" s="13" t="s">
        <v>75</v>
      </c>
      <c r="AE211" s="13">
        <v>10</v>
      </c>
      <c r="AG211" s="16" t="s">
        <v>254</v>
      </c>
      <c r="AI211" s="13" t="s">
        <v>42</v>
      </c>
      <c r="AJ211" s="14" t="s">
        <v>280</v>
      </c>
      <c r="AK211" s="15" t="s">
        <v>289</v>
      </c>
    </row>
    <row r="212" spans="1:37">
      <c r="A212" s="1">
        <v>41</v>
      </c>
      <c r="B212" s="16" t="s">
        <v>253</v>
      </c>
      <c r="C212" s="13" t="s">
        <v>165</v>
      </c>
      <c r="D212" s="14">
        <v>2009</v>
      </c>
      <c r="E212" s="21">
        <v>13.12</v>
      </c>
      <c r="F212" s="15">
        <v>1</v>
      </c>
      <c r="G212" s="16" t="s">
        <v>497</v>
      </c>
      <c r="H212" s="14" t="s">
        <v>698</v>
      </c>
      <c r="I212" s="13" t="s">
        <v>25</v>
      </c>
      <c r="J212" s="13">
        <v>0</v>
      </c>
      <c r="K212" s="16">
        <v>1</v>
      </c>
      <c r="L212" s="13">
        <f t="shared" si="15"/>
        <v>1</v>
      </c>
      <c r="M212" s="13">
        <v>1</v>
      </c>
      <c r="N212" s="13">
        <f t="shared" si="16"/>
        <v>1</v>
      </c>
      <c r="O212" s="13">
        <f t="shared" si="19"/>
        <v>2</v>
      </c>
      <c r="P212" s="13">
        <f t="shared" si="20"/>
        <v>2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8">
        <v>1</v>
      </c>
      <c r="AB212" s="18">
        <v>0</v>
      </c>
      <c r="AC212" s="20">
        <f t="shared" si="21"/>
        <v>1</v>
      </c>
      <c r="AD212" s="13" t="s">
        <v>108</v>
      </c>
      <c r="AE212" s="13">
        <v>350</v>
      </c>
      <c r="AG212" s="16" t="s">
        <v>254</v>
      </c>
      <c r="AI212" s="13" t="s">
        <v>42</v>
      </c>
      <c r="AJ212" s="14" t="s">
        <v>290</v>
      </c>
      <c r="AK212" s="15" t="s">
        <v>291</v>
      </c>
    </row>
    <row r="213" spans="1:37">
      <c r="A213" s="1">
        <v>42</v>
      </c>
      <c r="B213" s="16" t="s">
        <v>253</v>
      </c>
      <c r="C213" s="13" t="s">
        <v>165</v>
      </c>
      <c r="D213" s="14">
        <v>2009</v>
      </c>
      <c r="E213" s="21">
        <v>13.2</v>
      </c>
      <c r="F213" s="15">
        <v>1</v>
      </c>
      <c r="G213" s="16" t="s">
        <v>498</v>
      </c>
      <c r="H213" s="14" t="s">
        <v>699</v>
      </c>
      <c r="I213" s="13" t="s">
        <v>25</v>
      </c>
      <c r="J213" s="13">
        <v>0</v>
      </c>
      <c r="K213" s="16">
        <v>1</v>
      </c>
      <c r="L213" s="13">
        <f t="shared" si="15"/>
        <v>1</v>
      </c>
      <c r="M213" s="13">
        <v>0</v>
      </c>
      <c r="N213" s="13">
        <f t="shared" si="16"/>
        <v>0</v>
      </c>
      <c r="O213" s="13">
        <f t="shared" si="19"/>
        <v>1</v>
      </c>
      <c r="P213" s="13">
        <f t="shared" si="20"/>
        <v>1</v>
      </c>
      <c r="Q213" s="18">
        <v>0</v>
      </c>
      <c r="R213" s="18">
        <v>1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20">
        <f t="shared" si="21"/>
        <v>1</v>
      </c>
      <c r="AD213" s="13" t="s">
        <v>75</v>
      </c>
      <c r="AE213" s="13">
        <v>2000</v>
      </c>
      <c r="AG213" s="16" t="s">
        <v>254</v>
      </c>
      <c r="AI213" s="13" t="s">
        <v>42</v>
      </c>
      <c r="AJ213" s="14" t="s">
        <v>290</v>
      </c>
      <c r="AK213" s="15" t="s">
        <v>292</v>
      </c>
    </row>
    <row r="214" spans="1:37">
      <c r="A214" s="1">
        <v>43</v>
      </c>
      <c r="B214" s="16" t="s">
        <v>253</v>
      </c>
      <c r="C214" s="13" t="s">
        <v>165</v>
      </c>
      <c r="D214" s="14">
        <v>2009</v>
      </c>
      <c r="E214" s="21">
        <v>13.24</v>
      </c>
      <c r="F214" s="15">
        <v>1</v>
      </c>
      <c r="G214" s="16" t="s">
        <v>499</v>
      </c>
      <c r="H214" s="14" t="s">
        <v>700</v>
      </c>
      <c r="I214" s="13" t="s">
        <v>25</v>
      </c>
      <c r="J214" s="13">
        <v>0</v>
      </c>
      <c r="K214" s="16">
        <v>1</v>
      </c>
      <c r="L214" s="13">
        <f t="shared" si="15"/>
        <v>1</v>
      </c>
      <c r="M214" s="13">
        <v>0</v>
      </c>
      <c r="N214" s="13">
        <f t="shared" si="16"/>
        <v>0</v>
      </c>
      <c r="O214" s="13">
        <f t="shared" si="19"/>
        <v>1</v>
      </c>
      <c r="P214" s="13">
        <f t="shared" si="20"/>
        <v>1</v>
      </c>
      <c r="Q214" s="18">
        <v>1</v>
      </c>
      <c r="R214" s="18">
        <v>0</v>
      </c>
      <c r="S214" s="18">
        <v>0</v>
      </c>
      <c r="T214" s="18">
        <v>0</v>
      </c>
      <c r="U214" s="18">
        <v>0</v>
      </c>
      <c r="V214" s="18">
        <v>0</v>
      </c>
      <c r="W214" s="18">
        <v>0</v>
      </c>
      <c r="X214" s="18">
        <v>0</v>
      </c>
      <c r="Y214" s="18">
        <v>0</v>
      </c>
      <c r="Z214" s="18">
        <v>0</v>
      </c>
      <c r="AA214" s="18">
        <v>0</v>
      </c>
      <c r="AB214" s="18">
        <v>0</v>
      </c>
      <c r="AC214" s="20">
        <f t="shared" si="21"/>
        <v>1</v>
      </c>
      <c r="AE214" s="13">
        <v>5000</v>
      </c>
      <c r="AG214" s="16" t="s">
        <v>254</v>
      </c>
      <c r="AI214" s="13" t="s">
        <v>42</v>
      </c>
      <c r="AJ214" s="14" t="s">
        <v>290</v>
      </c>
      <c r="AK214" s="15" t="s">
        <v>293</v>
      </c>
    </row>
    <row r="215" spans="1:37">
      <c r="A215" s="1">
        <v>44</v>
      </c>
      <c r="B215" s="16" t="s">
        <v>253</v>
      </c>
      <c r="C215" s="13" t="s">
        <v>165</v>
      </c>
      <c r="D215" s="14">
        <v>2009</v>
      </c>
      <c r="E215" s="21">
        <v>13.5</v>
      </c>
      <c r="F215" s="15">
        <v>1</v>
      </c>
      <c r="G215" s="16" t="s">
        <v>500</v>
      </c>
      <c r="H215" s="14" t="s">
        <v>701</v>
      </c>
      <c r="I215" s="13" t="s">
        <v>25</v>
      </c>
      <c r="J215" s="13">
        <v>0</v>
      </c>
      <c r="K215" s="16">
        <v>1</v>
      </c>
      <c r="L215" s="13">
        <f t="shared" si="15"/>
        <v>1</v>
      </c>
      <c r="M215" s="13">
        <v>1</v>
      </c>
      <c r="N215" s="13">
        <f t="shared" si="16"/>
        <v>1</v>
      </c>
      <c r="O215" s="13">
        <f t="shared" si="19"/>
        <v>2</v>
      </c>
      <c r="P215" s="13">
        <f t="shared" si="20"/>
        <v>2</v>
      </c>
      <c r="Q215" s="18">
        <v>0</v>
      </c>
      <c r="R215" s="18">
        <v>0</v>
      </c>
      <c r="S215" s="18">
        <v>0</v>
      </c>
      <c r="T215" s="18">
        <v>0</v>
      </c>
      <c r="U215" s="18">
        <v>2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20">
        <f t="shared" si="21"/>
        <v>2</v>
      </c>
      <c r="AE215" s="13" t="s">
        <v>294</v>
      </c>
      <c r="AG215" s="16" t="s">
        <v>254</v>
      </c>
      <c r="AI215" s="13" t="s">
        <v>42</v>
      </c>
      <c r="AJ215" s="14" t="s">
        <v>290</v>
      </c>
      <c r="AK215" s="15" t="s">
        <v>295</v>
      </c>
    </row>
    <row r="216" spans="1:37">
      <c r="A216" s="1">
        <v>45</v>
      </c>
      <c r="B216" s="16" t="s">
        <v>253</v>
      </c>
      <c r="C216" s="13" t="s">
        <v>165</v>
      </c>
      <c r="D216" s="14">
        <v>2009</v>
      </c>
      <c r="E216" s="21">
        <v>14.02</v>
      </c>
      <c r="F216" s="15">
        <v>1</v>
      </c>
      <c r="G216" s="16" t="s">
        <v>501</v>
      </c>
      <c r="H216" s="14" t="s">
        <v>702</v>
      </c>
      <c r="I216" s="13" t="s">
        <v>25</v>
      </c>
      <c r="J216" s="13">
        <v>0</v>
      </c>
      <c r="K216" s="16">
        <v>1</v>
      </c>
      <c r="L216" s="13">
        <f t="shared" si="15"/>
        <v>1</v>
      </c>
      <c r="M216" s="13">
        <v>0</v>
      </c>
      <c r="N216" s="13">
        <f t="shared" si="16"/>
        <v>0</v>
      </c>
      <c r="O216" s="13">
        <f t="shared" si="19"/>
        <v>1</v>
      </c>
      <c r="P216" s="13">
        <f t="shared" si="20"/>
        <v>1</v>
      </c>
      <c r="Q216" s="18">
        <v>0</v>
      </c>
      <c r="R216" s="18">
        <v>1</v>
      </c>
      <c r="S216" s="18">
        <v>0</v>
      </c>
      <c r="T216" s="18">
        <v>0</v>
      </c>
      <c r="U216" s="18">
        <v>0</v>
      </c>
      <c r="V216" s="18">
        <v>0</v>
      </c>
      <c r="W216" s="18">
        <v>0</v>
      </c>
      <c r="X216" s="18">
        <v>0</v>
      </c>
      <c r="Y216" s="18">
        <v>0</v>
      </c>
      <c r="Z216" s="18">
        <v>0</v>
      </c>
      <c r="AA216" s="18">
        <v>0</v>
      </c>
      <c r="AB216" s="18">
        <v>0</v>
      </c>
      <c r="AC216" s="20">
        <f t="shared" si="21"/>
        <v>1</v>
      </c>
      <c r="AE216" s="13">
        <v>400</v>
      </c>
      <c r="AG216" s="16" t="s">
        <v>254</v>
      </c>
      <c r="AI216" s="13" t="s">
        <v>42</v>
      </c>
      <c r="AJ216" s="14" t="s">
        <v>290</v>
      </c>
      <c r="AK216" s="15" t="s">
        <v>296</v>
      </c>
    </row>
    <row r="217" spans="1:37">
      <c r="A217" s="1">
        <v>46</v>
      </c>
      <c r="B217" s="16" t="s">
        <v>253</v>
      </c>
      <c r="C217" s="13" t="s">
        <v>165</v>
      </c>
      <c r="D217" s="14">
        <v>2009</v>
      </c>
      <c r="E217" s="21">
        <v>14.26</v>
      </c>
      <c r="F217" s="15">
        <v>1</v>
      </c>
      <c r="G217" s="16" t="s">
        <v>502</v>
      </c>
      <c r="H217" s="14" t="s">
        <v>703</v>
      </c>
      <c r="I217" s="13" t="s">
        <v>25</v>
      </c>
      <c r="J217" s="13">
        <v>0</v>
      </c>
      <c r="K217" s="16">
        <v>2</v>
      </c>
      <c r="L217" s="13">
        <f t="shared" si="15"/>
        <v>2</v>
      </c>
      <c r="M217" s="13">
        <v>0</v>
      </c>
      <c r="N217" s="13">
        <f t="shared" si="16"/>
        <v>0</v>
      </c>
      <c r="O217" s="13">
        <f t="shared" si="19"/>
        <v>2</v>
      </c>
      <c r="P217" s="13">
        <f t="shared" si="20"/>
        <v>2</v>
      </c>
      <c r="Q217" s="18">
        <v>0</v>
      </c>
      <c r="R217" s="18">
        <v>1</v>
      </c>
      <c r="S217" s="18">
        <v>0</v>
      </c>
      <c r="T217" s="18">
        <v>1</v>
      </c>
      <c r="U217" s="18">
        <v>0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18">
        <v>0</v>
      </c>
      <c r="AC217" s="20">
        <f t="shared" si="21"/>
        <v>2</v>
      </c>
      <c r="AE217" s="13">
        <v>600</v>
      </c>
      <c r="AG217" s="16" t="s">
        <v>254</v>
      </c>
      <c r="AI217" s="13" t="s">
        <v>42</v>
      </c>
      <c r="AJ217" s="14" t="s">
        <v>290</v>
      </c>
      <c r="AK217" s="15" t="s">
        <v>292</v>
      </c>
    </row>
    <row r="218" spans="1:37">
      <c r="A218" s="1">
        <v>47</v>
      </c>
      <c r="B218" s="16" t="s">
        <v>253</v>
      </c>
      <c r="C218" s="13" t="s">
        <v>165</v>
      </c>
      <c r="D218" s="14">
        <v>2009</v>
      </c>
      <c r="E218" s="21">
        <v>14.31</v>
      </c>
      <c r="F218" s="15">
        <v>1</v>
      </c>
      <c r="G218" s="16" t="s">
        <v>503</v>
      </c>
      <c r="H218" s="14" t="s">
        <v>704</v>
      </c>
      <c r="I218" s="13" t="s">
        <v>25</v>
      </c>
      <c r="J218" s="13">
        <v>0</v>
      </c>
      <c r="K218" s="16">
        <v>1</v>
      </c>
      <c r="L218" s="13">
        <f t="shared" si="15"/>
        <v>1</v>
      </c>
      <c r="M218" s="13">
        <v>0</v>
      </c>
      <c r="N218" s="13">
        <f t="shared" si="16"/>
        <v>0</v>
      </c>
      <c r="O218" s="13">
        <f t="shared" si="19"/>
        <v>1</v>
      </c>
      <c r="P218" s="13">
        <f t="shared" si="20"/>
        <v>1</v>
      </c>
      <c r="Q218" s="18">
        <v>0</v>
      </c>
      <c r="R218" s="18">
        <v>0</v>
      </c>
      <c r="S218" s="18">
        <v>0</v>
      </c>
      <c r="T218" s="18">
        <v>0</v>
      </c>
      <c r="U218" s="18">
        <v>1</v>
      </c>
      <c r="V218" s="18">
        <v>0</v>
      </c>
      <c r="W218" s="18">
        <v>0</v>
      </c>
      <c r="X218" s="18">
        <v>0</v>
      </c>
      <c r="Y218" s="18">
        <v>0</v>
      </c>
      <c r="Z218" s="18">
        <v>0</v>
      </c>
      <c r="AA218" s="18">
        <v>0</v>
      </c>
      <c r="AB218" s="18">
        <v>0</v>
      </c>
      <c r="AC218" s="20">
        <f t="shared" si="21"/>
        <v>1</v>
      </c>
      <c r="AE218" s="13">
        <v>20</v>
      </c>
      <c r="AG218" s="16" t="s">
        <v>254</v>
      </c>
      <c r="AI218" s="13" t="s">
        <v>42</v>
      </c>
      <c r="AJ218" s="14" t="s">
        <v>290</v>
      </c>
      <c r="AK218" s="15" t="s">
        <v>297</v>
      </c>
    </row>
    <row r="219" spans="1:37">
      <c r="A219" s="1">
        <v>48</v>
      </c>
      <c r="B219" s="16" t="s">
        <v>253</v>
      </c>
      <c r="C219" s="13" t="s">
        <v>165</v>
      </c>
      <c r="D219" s="14">
        <v>2009</v>
      </c>
      <c r="E219" s="21">
        <v>14.47</v>
      </c>
      <c r="F219" s="15">
        <v>1</v>
      </c>
      <c r="G219" s="16" t="s">
        <v>504</v>
      </c>
      <c r="H219" s="14" t="s">
        <v>705</v>
      </c>
      <c r="I219" s="13" t="s">
        <v>25</v>
      </c>
      <c r="J219" s="13">
        <v>0</v>
      </c>
      <c r="K219" s="16">
        <v>1</v>
      </c>
      <c r="L219" s="13">
        <f t="shared" si="15"/>
        <v>1</v>
      </c>
      <c r="M219" s="13">
        <v>0</v>
      </c>
      <c r="N219" s="13">
        <f t="shared" si="16"/>
        <v>0</v>
      </c>
      <c r="O219" s="13">
        <f t="shared" si="19"/>
        <v>1</v>
      </c>
      <c r="P219" s="13">
        <f t="shared" si="20"/>
        <v>1</v>
      </c>
      <c r="Q219" s="18">
        <v>0</v>
      </c>
      <c r="R219" s="18">
        <v>1</v>
      </c>
      <c r="S219" s="18">
        <v>0</v>
      </c>
      <c r="T219" s="18">
        <v>0</v>
      </c>
      <c r="U219" s="18">
        <v>0</v>
      </c>
      <c r="V219" s="18">
        <v>0</v>
      </c>
      <c r="W219" s="18">
        <v>0</v>
      </c>
      <c r="X219" s="18">
        <v>0</v>
      </c>
      <c r="Y219" s="18">
        <v>0</v>
      </c>
      <c r="Z219" s="18">
        <v>0</v>
      </c>
      <c r="AA219" s="18">
        <v>0</v>
      </c>
      <c r="AB219" s="18">
        <v>0</v>
      </c>
      <c r="AC219" s="20">
        <f t="shared" si="21"/>
        <v>1</v>
      </c>
      <c r="AE219" s="13">
        <v>500</v>
      </c>
      <c r="AG219" s="16" t="s">
        <v>254</v>
      </c>
      <c r="AI219" s="13" t="s">
        <v>42</v>
      </c>
      <c r="AJ219" s="14" t="s">
        <v>290</v>
      </c>
      <c r="AK219" s="15" t="s">
        <v>298</v>
      </c>
    </row>
    <row r="220" spans="1:37">
      <c r="A220" s="1">
        <v>49</v>
      </c>
      <c r="B220" s="16" t="s">
        <v>253</v>
      </c>
      <c r="C220" s="13" t="s">
        <v>165</v>
      </c>
      <c r="D220" s="14">
        <v>2009</v>
      </c>
      <c r="E220" s="21">
        <v>14.48</v>
      </c>
      <c r="F220" s="15">
        <v>1</v>
      </c>
      <c r="G220" s="16" t="s">
        <v>505</v>
      </c>
      <c r="H220" s="14" t="s">
        <v>704</v>
      </c>
      <c r="I220" s="13" t="s">
        <v>25</v>
      </c>
      <c r="J220" s="13">
        <v>0</v>
      </c>
      <c r="K220" s="16">
        <v>2</v>
      </c>
      <c r="L220" s="13">
        <f t="shared" si="15"/>
        <v>2</v>
      </c>
      <c r="M220" s="13">
        <v>0</v>
      </c>
      <c r="N220" s="13">
        <f t="shared" si="16"/>
        <v>0</v>
      </c>
      <c r="O220" s="13">
        <f t="shared" si="19"/>
        <v>2</v>
      </c>
      <c r="P220" s="13">
        <f t="shared" si="20"/>
        <v>2</v>
      </c>
      <c r="Q220" s="18">
        <v>0</v>
      </c>
      <c r="R220" s="18">
        <v>2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8">
        <v>0</v>
      </c>
      <c r="AC220" s="20">
        <f t="shared" si="21"/>
        <v>2</v>
      </c>
      <c r="AE220" s="13">
        <v>300</v>
      </c>
      <c r="AG220" s="16" t="s">
        <v>254</v>
      </c>
      <c r="AI220" s="13" t="s">
        <v>42</v>
      </c>
      <c r="AJ220" s="14" t="s">
        <v>290</v>
      </c>
      <c r="AK220" s="15" t="s">
        <v>299</v>
      </c>
    </row>
    <row r="221" spans="1:37">
      <c r="A221" s="1">
        <v>50</v>
      </c>
      <c r="B221" s="16" t="s">
        <v>253</v>
      </c>
      <c r="C221" s="13" t="s">
        <v>165</v>
      </c>
      <c r="D221" s="14">
        <v>2009</v>
      </c>
      <c r="E221" s="21">
        <v>15.03</v>
      </c>
      <c r="F221" s="15">
        <v>1</v>
      </c>
      <c r="G221" s="16" t="s">
        <v>506</v>
      </c>
      <c r="H221" s="14" t="s">
        <v>706</v>
      </c>
      <c r="I221" s="13" t="s">
        <v>25</v>
      </c>
      <c r="J221" s="13">
        <v>0</v>
      </c>
      <c r="K221" s="16">
        <v>1</v>
      </c>
      <c r="L221" s="13">
        <f t="shared" si="15"/>
        <v>1</v>
      </c>
      <c r="M221" s="13">
        <v>1</v>
      </c>
      <c r="N221" s="13">
        <f t="shared" si="16"/>
        <v>1</v>
      </c>
      <c r="O221" s="13">
        <f t="shared" si="19"/>
        <v>2</v>
      </c>
      <c r="P221" s="13">
        <f t="shared" si="20"/>
        <v>2</v>
      </c>
      <c r="Q221" s="18">
        <v>2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20">
        <f t="shared" si="21"/>
        <v>2</v>
      </c>
      <c r="AD221" s="13" t="s">
        <v>75</v>
      </c>
      <c r="AE221" s="13">
        <v>45</v>
      </c>
      <c r="AG221" s="16" t="s">
        <v>254</v>
      </c>
      <c r="AI221" s="13" t="s">
        <v>42</v>
      </c>
      <c r="AJ221" s="14" t="s">
        <v>290</v>
      </c>
      <c r="AK221" s="15" t="s">
        <v>300</v>
      </c>
    </row>
    <row r="222" spans="1:37">
      <c r="A222" s="1">
        <v>51</v>
      </c>
      <c r="B222" s="16" t="s">
        <v>253</v>
      </c>
      <c r="C222" s="13" t="s">
        <v>165</v>
      </c>
      <c r="D222" s="14">
        <v>2009</v>
      </c>
      <c r="E222" s="21">
        <v>15.07</v>
      </c>
      <c r="F222" s="15">
        <v>1</v>
      </c>
      <c r="G222" s="16" t="s">
        <v>507</v>
      </c>
      <c r="H222" s="14" t="s">
        <v>707</v>
      </c>
      <c r="I222" s="13" t="s">
        <v>25</v>
      </c>
      <c r="J222" s="13">
        <v>0</v>
      </c>
      <c r="K222" s="16">
        <v>1</v>
      </c>
      <c r="L222" s="13">
        <f t="shared" si="15"/>
        <v>1</v>
      </c>
      <c r="M222" s="13">
        <v>0</v>
      </c>
      <c r="N222" s="13">
        <f t="shared" si="16"/>
        <v>0</v>
      </c>
      <c r="O222" s="13">
        <f t="shared" si="19"/>
        <v>1</v>
      </c>
      <c r="P222" s="13">
        <f t="shared" si="20"/>
        <v>1</v>
      </c>
      <c r="Q222" s="18">
        <v>0</v>
      </c>
      <c r="R222" s="18">
        <v>0</v>
      </c>
      <c r="S222" s="18">
        <v>0</v>
      </c>
      <c r="T222" s="18">
        <v>0</v>
      </c>
      <c r="U222" s="18">
        <v>1</v>
      </c>
      <c r="V222" s="18">
        <v>0</v>
      </c>
      <c r="W222" s="18">
        <v>0</v>
      </c>
      <c r="X222" s="18">
        <v>0</v>
      </c>
      <c r="Y222" s="18">
        <v>0</v>
      </c>
      <c r="Z222" s="18">
        <v>0</v>
      </c>
      <c r="AA222" s="18">
        <v>0</v>
      </c>
      <c r="AB222" s="18">
        <v>0</v>
      </c>
      <c r="AC222" s="20">
        <f t="shared" si="21"/>
        <v>1</v>
      </c>
      <c r="AD222" s="13" t="s">
        <v>226</v>
      </c>
      <c r="AE222" s="13">
        <v>600</v>
      </c>
      <c r="AG222" s="16" t="s">
        <v>254</v>
      </c>
      <c r="AI222" s="13" t="s">
        <v>42</v>
      </c>
      <c r="AJ222" s="14" t="s">
        <v>280</v>
      </c>
      <c r="AK222" s="15" t="s">
        <v>301</v>
      </c>
    </row>
    <row r="223" spans="1:37">
      <c r="A223" s="1">
        <v>52</v>
      </c>
      <c r="B223" s="16" t="s">
        <v>253</v>
      </c>
      <c r="C223" s="13" t="s">
        <v>165</v>
      </c>
      <c r="D223" s="14">
        <v>2009</v>
      </c>
      <c r="E223" s="21">
        <v>15.1</v>
      </c>
      <c r="F223" s="15">
        <v>1</v>
      </c>
      <c r="G223" s="16" t="s">
        <v>508</v>
      </c>
      <c r="H223" s="14" t="s">
        <v>708</v>
      </c>
      <c r="I223" s="13" t="s">
        <v>25</v>
      </c>
      <c r="J223" s="13">
        <v>0</v>
      </c>
      <c r="K223" s="16">
        <v>1</v>
      </c>
      <c r="L223" s="13">
        <f t="shared" si="15"/>
        <v>1</v>
      </c>
      <c r="M223" s="13">
        <v>0</v>
      </c>
      <c r="N223" s="13">
        <f t="shared" si="16"/>
        <v>0</v>
      </c>
      <c r="O223" s="13">
        <f t="shared" si="19"/>
        <v>1</v>
      </c>
      <c r="P223" s="13">
        <f t="shared" si="20"/>
        <v>1</v>
      </c>
      <c r="Q223" s="18">
        <v>0</v>
      </c>
      <c r="R223" s="18">
        <v>1</v>
      </c>
      <c r="S223" s="18">
        <v>0</v>
      </c>
      <c r="T223" s="18">
        <v>0</v>
      </c>
      <c r="U223" s="18">
        <v>0</v>
      </c>
      <c r="V223" s="18">
        <v>0</v>
      </c>
      <c r="W223" s="18">
        <v>0</v>
      </c>
      <c r="X223" s="18">
        <v>0</v>
      </c>
      <c r="Y223" s="18">
        <v>0</v>
      </c>
      <c r="Z223" s="18">
        <v>0</v>
      </c>
      <c r="AA223" s="18">
        <v>0</v>
      </c>
      <c r="AB223" s="18">
        <v>0</v>
      </c>
      <c r="AC223" s="20">
        <f t="shared" si="21"/>
        <v>1</v>
      </c>
      <c r="AD223" s="13" t="s">
        <v>170</v>
      </c>
      <c r="AE223" s="13">
        <v>450</v>
      </c>
      <c r="AG223" s="16" t="s">
        <v>254</v>
      </c>
      <c r="AI223" s="13" t="s">
        <v>42</v>
      </c>
      <c r="AJ223" s="14" t="s">
        <v>280</v>
      </c>
      <c r="AK223" s="15" t="s">
        <v>303</v>
      </c>
    </row>
    <row r="224" spans="1:37">
      <c r="A224" s="1">
        <v>53</v>
      </c>
      <c r="B224" s="16" t="s">
        <v>253</v>
      </c>
      <c r="C224" s="13" t="s">
        <v>165</v>
      </c>
      <c r="D224" s="14">
        <v>2009</v>
      </c>
      <c r="E224" s="21">
        <v>15.29</v>
      </c>
      <c r="F224" s="15">
        <v>1</v>
      </c>
      <c r="G224" s="16" t="s">
        <v>509</v>
      </c>
      <c r="H224" s="14" t="s">
        <v>709</v>
      </c>
      <c r="I224" s="13" t="s">
        <v>25</v>
      </c>
      <c r="J224" s="13">
        <v>0</v>
      </c>
      <c r="K224" s="16">
        <v>1</v>
      </c>
      <c r="L224" s="13">
        <f t="shared" si="15"/>
        <v>1</v>
      </c>
      <c r="M224" s="13">
        <v>0</v>
      </c>
      <c r="N224" s="13">
        <f t="shared" si="16"/>
        <v>0</v>
      </c>
      <c r="O224" s="13">
        <f t="shared" si="19"/>
        <v>1</v>
      </c>
      <c r="P224" s="13">
        <f t="shared" si="20"/>
        <v>1</v>
      </c>
      <c r="Q224" s="18">
        <v>0</v>
      </c>
      <c r="R224" s="18">
        <v>1</v>
      </c>
      <c r="S224" s="18">
        <v>0</v>
      </c>
      <c r="T224" s="18">
        <v>0</v>
      </c>
      <c r="U224" s="18">
        <v>0</v>
      </c>
      <c r="V224" s="18">
        <v>0</v>
      </c>
      <c r="W224" s="18">
        <v>0</v>
      </c>
      <c r="X224" s="18">
        <v>0</v>
      </c>
      <c r="Y224" s="18">
        <v>0</v>
      </c>
      <c r="Z224" s="18">
        <v>0</v>
      </c>
      <c r="AA224" s="18">
        <v>0</v>
      </c>
      <c r="AB224" s="18">
        <v>0</v>
      </c>
      <c r="AC224" s="20">
        <f t="shared" si="21"/>
        <v>1</v>
      </c>
      <c r="AD224" s="13" t="s">
        <v>75</v>
      </c>
      <c r="AE224" s="13">
        <v>800</v>
      </c>
      <c r="AG224" s="16" t="s">
        <v>254</v>
      </c>
      <c r="AI224" s="13" t="s">
        <v>42</v>
      </c>
      <c r="AJ224" s="14" t="s">
        <v>280</v>
      </c>
      <c r="AK224" s="15" t="s">
        <v>302</v>
      </c>
    </row>
  </sheetData>
  <mergeCells count="2">
    <mergeCell ref="B1:D1"/>
    <mergeCell ref="Q1:AC1"/>
  </mergeCells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Steve Blake</cp:lastModifiedBy>
  <dcterms:created xsi:type="dcterms:W3CDTF">2012-11-05T02:06:31Z</dcterms:created>
  <dcterms:modified xsi:type="dcterms:W3CDTF">2014-05-18T09:03:54Z</dcterms:modified>
</cp:coreProperties>
</file>